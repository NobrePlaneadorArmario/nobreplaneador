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cg.sharepoint.com/sites/CAMPOFRIOGROUP/Documentos compartidos/04. Rio Maior/1. Implementação/02. Workshops/04. Process Design/04. Analise Reaprovisionamento Logs/01. Analise Ocupação Camara/Planos Diário/"/>
    </mc:Choice>
  </mc:AlternateContent>
  <xr:revisionPtr revIDLastSave="1" documentId="8_{7D4B4F15-2FE7-40A2-B092-E6D8607537AE}" xr6:coauthVersionLast="47" xr6:coauthVersionMax="47" xr10:uidLastSave="{0683BB58-1CA8-4117-A3B7-ADC3BF574126}"/>
  <bookViews>
    <workbookView xWindow="-110" yWindow="-110" windowWidth="19420" windowHeight="11500" xr2:uid="{A2491F1F-A5A1-44CE-900F-9A8CC2F1F354}"/>
  </bookViews>
  <sheets>
    <sheet name="5ªfeira" sheetId="1" r:id="rId1"/>
    <sheet name="Nec_5ª" sheetId="2" r:id="rId2"/>
  </sheets>
  <definedNames>
    <definedName name="_xlnm.Print_Area" localSheetId="0">'5ªfeira'!$A$1:$T$106</definedName>
    <definedName name="_xlnm.Print_Area" localSheetId="1">Nec_5ª!$A$1:$F$129</definedName>
    <definedName name="_xlnm.Print_Titles" localSheetId="1">Nec_5ª!$1:$4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2" l="1"/>
  <c r="C116" i="2"/>
  <c r="C115" i="2"/>
  <c r="C114" i="2"/>
  <c r="C111" i="2"/>
  <c r="C110" i="2"/>
  <c r="C109" i="2"/>
  <c r="C108" i="2"/>
  <c r="C107" i="2"/>
  <c r="C106" i="2"/>
  <c r="C105" i="2"/>
  <c r="C104" i="2"/>
  <c r="D99" i="2"/>
  <c r="E99" i="2" s="1"/>
  <c r="E98" i="2"/>
  <c r="D98" i="2"/>
  <c r="D97" i="2"/>
  <c r="E97" i="2" s="1"/>
  <c r="D96" i="2"/>
  <c r="E96" i="2" s="1"/>
  <c r="E95" i="2"/>
  <c r="D95" i="2"/>
  <c r="D93" i="2"/>
  <c r="E93" i="2" s="1"/>
  <c r="E92" i="2"/>
  <c r="D92" i="2"/>
  <c r="E91" i="2"/>
  <c r="D91" i="2"/>
  <c r="E90" i="2"/>
  <c r="D90" i="2"/>
  <c r="D89" i="2"/>
  <c r="E89" i="2" s="1"/>
  <c r="D88" i="2"/>
  <c r="E88" i="2" s="1"/>
  <c r="E87" i="2"/>
  <c r="D87" i="2"/>
  <c r="D86" i="2"/>
  <c r="E86" i="2" s="1"/>
  <c r="D85" i="2"/>
  <c r="E85" i="2" s="1"/>
  <c r="E84" i="2"/>
  <c r="D84" i="2"/>
  <c r="E83" i="2"/>
  <c r="D83" i="2"/>
  <c r="C17" i="2"/>
  <c r="D17" i="2" s="1"/>
  <c r="B4" i="2"/>
  <c r="B3" i="2"/>
  <c r="C55" i="2"/>
  <c r="C59" i="2" l="1"/>
  <c r="C45" i="2"/>
  <c r="C15" i="2"/>
  <c r="C60" i="2"/>
  <c r="C74" i="2"/>
  <c r="C78" i="2"/>
  <c r="C21" i="2"/>
  <c r="C23" i="2"/>
  <c r="E17" i="2"/>
  <c r="C33" i="2"/>
  <c r="C36" i="2"/>
  <c r="C38" i="2"/>
  <c r="C128" i="2"/>
  <c r="C24" i="2"/>
  <c r="C39" i="2"/>
  <c r="C51" i="2"/>
  <c r="C69" i="2"/>
  <c r="C48" i="2"/>
  <c r="C123" i="2"/>
  <c r="C66" i="2"/>
  <c r="C44" i="2"/>
  <c r="C126" i="2"/>
  <c r="C20" i="2"/>
  <c r="C27" i="2"/>
  <c r="C19" i="2"/>
  <c r="C11" i="2"/>
  <c r="C118" i="2"/>
  <c r="C124" i="2"/>
  <c r="C67" i="2"/>
  <c r="C63" i="2"/>
  <c r="C119" i="2"/>
  <c r="C65" i="2"/>
  <c r="C43" i="2"/>
  <c r="C12" i="2"/>
  <c r="C41" i="2"/>
  <c r="C61" i="2"/>
  <c r="C121" i="2"/>
  <c r="C64" i="2"/>
  <c r="C42" i="2"/>
  <c r="C26" i="2"/>
  <c r="C18" i="2"/>
  <c r="C40" i="2"/>
  <c r="C58" i="2"/>
  <c r="C37" i="2"/>
  <c r="C56" i="2"/>
  <c r="C34" i="2"/>
  <c r="C16" i="2"/>
  <c r="C77" i="2"/>
  <c r="C54" i="2"/>
  <c r="C32" i="2"/>
  <c r="C22" i="2"/>
  <c r="C76" i="2"/>
  <c r="C53" i="2"/>
  <c r="C31" i="2"/>
  <c r="C75" i="2"/>
  <c r="C52" i="2"/>
  <c r="C30" i="2"/>
  <c r="C57" i="2"/>
  <c r="C120" i="2"/>
  <c r="C122" i="2"/>
  <c r="C13" i="2"/>
  <c r="C47" i="2"/>
  <c r="C68" i="2"/>
  <c r="C125" i="2"/>
  <c r="C28" i="2"/>
  <c r="C49" i="2"/>
  <c r="C71" i="2"/>
  <c r="C127" i="2"/>
  <c r="C14" i="2"/>
  <c r="C50" i="2"/>
  <c r="C73" i="2"/>
  <c r="D16" i="2" l="1"/>
  <c r="E16" i="2" s="1"/>
  <c r="D19" i="2"/>
  <c r="E19" i="2" s="1"/>
  <c r="D27" i="2"/>
  <c r="E27" i="2" s="1"/>
  <c r="D20" i="2"/>
  <c r="E20" i="2" s="1"/>
  <c r="D18" i="2"/>
  <c r="E18" i="2" s="1"/>
  <c r="D21" i="2"/>
  <c r="E21" i="2" s="1"/>
  <c r="D26" i="2"/>
  <c r="E26" i="2" s="1"/>
  <c r="D14" i="2"/>
  <c r="E14" i="2" s="1"/>
  <c r="D24" i="2"/>
  <c r="E24" i="2" s="1"/>
  <c r="D15" i="2"/>
  <c r="E15" i="2"/>
  <c r="D12" i="2"/>
  <c r="E12" i="2"/>
  <c r="D23" i="2"/>
  <c r="E23" i="2"/>
  <c r="D11" i="2"/>
  <c r="E11" i="2" s="1"/>
  <c r="D28" i="2"/>
  <c r="E28" i="2" s="1"/>
  <c r="D13" i="2"/>
  <c r="E13" i="2" s="1"/>
  <c r="D22" i="2"/>
  <c r="E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Silva</author>
  </authors>
  <commentList>
    <comment ref="O106" authorId="0" shapeId="0" xr:uid="{3E5A1AF2-E821-4F7F-B93C-E16F79872368}">
      <text>
        <r>
          <rPr>
            <b/>
            <sz val="9"/>
            <color indexed="81"/>
            <rFont val="Tahoma"/>
            <family val="2"/>
          </rPr>
          <t>Jorge Silva:</t>
        </r>
        <r>
          <rPr>
            <sz val="9"/>
            <color indexed="81"/>
            <rFont val="Tahoma"/>
            <family val="2"/>
          </rPr>
          <t xml:space="preserve">
valor a levar à reunião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Silva</author>
    <author>jorge.silva</author>
  </authors>
  <commentList>
    <comment ref="A11" authorId="0" shapeId="0" xr:uid="{31250693-3636-42E7-A0D5-4F1A9CFDE11F}">
      <text>
        <r>
          <rPr>
            <b/>
            <sz val="9"/>
            <color indexed="81"/>
            <rFont val="Tahoma"/>
            <family val="2"/>
          </rPr>
          <t>Jorge Silva:</t>
        </r>
        <r>
          <rPr>
            <sz val="9"/>
            <color indexed="81"/>
            <rFont val="Tahoma"/>
            <family val="2"/>
          </rPr>
          <t xml:space="preserve">
era o 1401193</t>
        </r>
      </text>
    </comment>
    <comment ref="A76" authorId="1" shapeId="0" xr:uid="{3424BD31-C3D9-4CC8-93BF-84074EEFE2EC}">
      <text>
        <r>
          <rPr>
            <sz val="9"/>
            <color indexed="81"/>
            <rFont val="Tahoma"/>
            <family val="2"/>
          </rPr>
          <t xml:space="preserve">estava aqui o 1901025, mas foi alterado para 1901005 sr João .
</t>
        </r>
      </text>
    </comment>
  </commentList>
</comments>
</file>

<file path=xl/sharedStrings.xml><?xml version="1.0" encoding="utf-8"?>
<sst xmlns="http://schemas.openxmlformats.org/spreadsheetml/2006/main" count="1264" uniqueCount="191">
  <si>
    <t>SUPPLY CHAIN / PLAN PRODUÇÃO</t>
  </si>
  <si>
    <t>5ªfeira</t>
  </si>
  <si>
    <t>simular produção</t>
  </si>
  <si>
    <t>LINHA</t>
  </si>
  <si>
    <t>CÓDIGO</t>
  </si>
  <si>
    <t>VERSÃO</t>
  </si>
  <si>
    <t>PI</t>
  </si>
  <si>
    <t>Filme Sup</t>
  </si>
  <si>
    <t>Filme I</t>
  </si>
  <si>
    <t>PRODUTO</t>
  </si>
  <si>
    <t>OP</t>
  </si>
  <si>
    <t>NOTAS DE PLANEAMENTO</t>
  </si>
  <si>
    <t>Kg Entrada</t>
  </si>
  <si>
    <t>Un  Finais</t>
  </si>
  <si>
    <t>Nºcaixas</t>
  </si>
  <si>
    <t>kg/un</t>
  </si>
  <si>
    <t>Plano kg</t>
  </si>
  <si>
    <t>Real kg</t>
  </si>
  <si>
    <t>ABS</t>
  </si>
  <si>
    <t>T. Horas</t>
  </si>
  <si>
    <t>Horas</t>
  </si>
  <si>
    <t>Un/Ciclos</t>
  </si>
  <si>
    <t>mt</t>
  </si>
  <si>
    <t>Cód caixas</t>
  </si>
  <si>
    <t>Un/Caixa</t>
  </si>
  <si>
    <t>kilos / hora</t>
  </si>
  <si>
    <t>horas até final</t>
  </si>
  <si>
    <t>kilos que faltam</t>
  </si>
  <si>
    <t xml:space="preserve"> </t>
  </si>
  <si>
    <t>I</t>
  </si>
  <si>
    <t>II</t>
  </si>
  <si>
    <t>rubis</t>
  </si>
  <si>
    <t>III</t>
  </si>
  <si>
    <t>IV</t>
  </si>
  <si>
    <t>V</t>
  </si>
  <si>
    <t>VI</t>
  </si>
  <si>
    <t/>
  </si>
  <si>
    <t>MI</t>
  </si>
  <si>
    <t>produção planeada</t>
  </si>
  <si>
    <t>FIN</t>
  </si>
  <si>
    <t>total equipas</t>
  </si>
  <si>
    <t>abs L1</t>
  </si>
  <si>
    <t>abs L2</t>
  </si>
  <si>
    <t>abs L3</t>
  </si>
  <si>
    <t>abs L4</t>
  </si>
  <si>
    <t>abs L5</t>
  </si>
  <si>
    <t>abs L6</t>
  </si>
  <si>
    <t xml:space="preserve">                              NECESSIDADES PARA A  LINHA DE FATIADOS</t>
  </si>
  <si>
    <t>SUPPLY CHAIN  PLAN PRODUÇÃO</t>
  </si>
  <si>
    <t>DATA:</t>
  </si>
  <si>
    <t>MAT. PRIMA PRINCIPAL</t>
  </si>
  <si>
    <t>PRODUTO  INTERMÉDIO P/FATIAR</t>
  </si>
  <si>
    <t>kg</t>
  </si>
  <si>
    <t>Paletes</t>
  </si>
  <si>
    <t>Gavetas</t>
  </si>
  <si>
    <t>Real</t>
  </si>
  <si>
    <t>SP1 FIAM PERN EXT P/FAT/SLI NB</t>
  </si>
  <si>
    <t>(*)</t>
  </si>
  <si>
    <t>SP1 FIAMBRE PÁ P/FAT NB</t>
  </si>
  <si>
    <t>SP1 FIAMBRE PÁ P/FAT MP</t>
  </si>
  <si>
    <r>
      <t>Mpp</t>
    </r>
    <r>
      <rPr>
        <sz val="10"/>
        <rFont val="Arial"/>
        <family val="2"/>
      </rPr>
      <t xml:space="preserve"> Fiambre Perna Extra</t>
    </r>
    <r>
      <rPr>
        <b/>
        <sz val="10"/>
        <rFont val="Arial"/>
        <family val="2"/>
      </rPr>
      <t xml:space="preserve">              </t>
    </r>
  </si>
  <si>
    <t>SP1 FIAMB PERNA EXTRA P/FAT CDT NB</t>
  </si>
  <si>
    <t>SP1 FIAMB P EXT 11:11 P/FAT MP</t>
  </si>
  <si>
    <t>SP1 FIAMB P EXT P/FAT MERCADONA</t>
  </si>
  <si>
    <t>SP1 FIAM PERN EXT BRAS P/FAT NB BA</t>
  </si>
  <si>
    <t>SP1 FIAMB P EXT P/FAT CTE</t>
  </si>
  <si>
    <t>SP1 FIAM PERN EXT P/FAT NB - BA</t>
  </si>
  <si>
    <t>SP1 FIAMB P EXT P/FAT CTE (17KG)</t>
  </si>
  <si>
    <t>SP1 FIAMB PERNA EXTRA P/FAT CDT NB - BA</t>
  </si>
  <si>
    <t>SP1 FIAMB P EXT FL P/FAT CF</t>
  </si>
  <si>
    <t>SP1 FIAMB PÁ P/FAT PDC</t>
  </si>
  <si>
    <t>Paio York P/Fatiar</t>
  </si>
  <si>
    <t xml:space="preserve">Paio York   NBR Fatiar </t>
  </si>
  <si>
    <t>SP3 PAIO DO LOMBO P/FATIAR</t>
  </si>
  <si>
    <t>Chourição Bakemark para Fatiar</t>
  </si>
  <si>
    <t>(*) Paletes de 480kg e não 432kg</t>
  </si>
  <si>
    <t>Chourição para Fatiar NBR</t>
  </si>
  <si>
    <t>Toucinho S/courato  FSR</t>
  </si>
  <si>
    <r>
      <t xml:space="preserve">Mpp </t>
    </r>
    <r>
      <rPr>
        <sz val="10"/>
        <rFont val="Arial"/>
        <family val="2"/>
      </rPr>
      <t xml:space="preserve">Chourição para Fatiar </t>
    </r>
  </si>
  <si>
    <t>SP2 CHOURIÇÃO EXT T ESPANHOL P</t>
  </si>
  <si>
    <t>Presunto FSR</t>
  </si>
  <si>
    <t>SP3 PEITO FRANGO ASSADO P/FAT CF</t>
  </si>
  <si>
    <t>SP3 PEITO FRANGO ALHO P/FAT CF</t>
  </si>
  <si>
    <t>JAMON 1ª RED SAL LONCH 18x11 1500MM</t>
  </si>
  <si>
    <t>MORTAD PAVO CUIDATE LONCH. D110 1,5M</t>
  </si>
  <si>
    <t>CHOPPED PAVO CUIDATE D110 1500MM</t>
  </si>
  <si>
    <t>SP3 PEITO PERU C/VEGET P/FAT CF</t>
  </si>
  <si>
    <t>P.PAVO SF RED SAL LONCH 11X11 1500MM</t>
  </si>
  <si>
    <t>P.PAVO BRS SF RED SAL LONCH 11X11 1500MM</t>
  </si>
  <si>
    <t>CHOPPED PORK P/LONCHEAR D110 1500MM</t>
  </si>
  <si>
    <t>SP3 PEITO PERU P/ FAT CDT NB (CFRG)</t>
  </si>
  <si>
    <t>SP3 PEITO PERU CEN P/FAT NB CDT</t>
  </si>
  <si>
    <t>SP1 PTO PERU BRAS. CDT P/ FAT NB (CFRG)</t>
  </si>
  <si>
    <t>SP1 PEITO FRANGO CDT P/FAT</t>
  </si>
  <si>
    <t>SP1 PEITO PERU CLASSICAS P/ FAT</t>
  </si>
  <si>
    <t>SP3 PEITO FRANGO P/FAT FL CF</t>
  </si>
  <si>
    <t>SP3 PEITO PERU P/ FAT FL CF</t>
  </si>
  <si>
    <t>SP3 PEITO PERU P/ FAT FL CF (C/FRG)</t>
  </si>
  <si>
    <t>SP1 PEITO PERU EXTRA CLASSI P/FAT (CFRG)</t>
  </si>
  <si>
    <t>SP3 PEITO PERU EXTRA CARIL P/FATIAR</t>
  </si>
  <si>
    <t>SP3 PEITO PERU EXTRA ASSADO P/FATIAR</t>
  </si>
  <si>
    <t>SP3 PEITO PERU P/ FAT FL MP</t>
  </si>
  <si>
    <t>SP3 PEITO FRANGO P/FAT FL MP</t>
  </si>
  <si>
    <t>SP3 PTO PERU EXT C/VEGET P/FAT</t>
  </si>
  <si>
    <t>SP1 PEITO PERU CLASSICAS P/ FAT (CFRG)</t>
  </si>
  <si>
    <t>SP3 MORTAD P/FAT ECON</t>
  </si>
  <si>
    <t>MORTADELA DE PERU P/FATIAR</t>
  </si>
  <si>
    <t>SP3 MORTAD PERU P/FAT (B);</t>
  </si>
  <si>
    <t>SP3 MORTAD PERU C/ AZEIT P/FAT</t>
  </si>
  <si>
    <t>SP3 MORTAD PERU C/ AZEIT P/FAT (B)</t>
  </si>
  <si>
    <t>SP3 MORTAD C/AZEIT P/FAT ECON</t>
  </si>
  <si>
    <t>SP3 MORTAD PERU P/FAT ECON</t>
  </si>
  <si>
    <t>SP3 SALSICHA P/FAT NB</t>
  </si>
  <si>
    <t xml:space="preserve"> FIAMBRE ECON P/FAT</t>
  </si>
  <si>
    <t>SP1 FIAMBRE FRANGO ECON P/FAT</t>
  </si>
  <si>
    <t>SP1 FIAMBRE FRANGO ECON P/FAT NB</t>
  </si>
  <si>
    <t>SP1 FIAMBRE PERU ECON P/FAT NB</t>
  </si>
  <si>
    <t xml:space="preserve"> CHOURIÇÃO P/FAT ECON</t>
  </si>
  <si>
    <t>REFERÊNCIA</t>
  </si>
  <si>
    <t>mt/rolo</t>
  </si>
  <si>
    <t>Rolos</t>
  </si>
  <si>
    <t>Sup.Transparente 65 um</t>
  </si>
  <si>
    <t>Sup.Transparente fresquissimos</t>
  </si>
  <si>
    <r>
      <t xml:space="preserve">Sup </t>
    </r>
    <r>
      <rPr>
        <b/>
        <sz val="10"/>
        <rFont val="Arial"/>
        <family val="2"/>
      </rPr>
      <t>Bordaux 3x2</t>
    </r>
    <r>
      <rPr>
        <sz val="10"/>
        <rFont val="Arial"/>
        <family val="2"/>
      </rPr>
      <t xml:space="preserve">   65 um</t>
    </r>
  </si>
  <si>
    <r>
      <t xml:space="preserve">Sup </t>
    </r>
    <r>
      <rPr>
        <b/>
        <sz val="10"/>
        <rFont val="Arial"/>
        <family val="2"/>
      </rPr>
      <t xml:space="preserve">Amarelo 3x2 </t>
    </r>
    <r>
      <rPr>
        <sz val="10"/>
        <rFont val="Arial"/>
        <family val="2"/>
      </rPr>
      <t xml:space="preserve">  65 um</t>
    </r>
  </si>
  <si>
    <r>
      <t xml:space="preserve">Sup </t>
    </r>
    <r>
      <rPr>
        <b/>
        <sz val="10"/>
        <rFont val="Arial"/>
        <family val="2"/>
      </rPr>
      <t>Bordaux dg  2x2</t>
    </r>
    <r>
      <rPr>
        <sz val="10"/>
        <rFont val="Arial"/>
        <family val="2"/>
      </rPr>
      <t xml:space="preserve">   65 um</t>
    </r>
  </si>
  <si>
    <r>
      <t xml:space="preserve">Sup </t>
    </r>
    <r>
      <rPr>
        <b/>
        <sz val="10"/>
        <rFont val="Arial"/>
        <family val="2"/>
      </rPr>
      <t xml:space="preserve">Amarelo 2x2 </t>
    </r>
    <r>
      <rPr>
        <sz val="10"/>
        <rFont val="Arial"/>
        <family val="2"/>
      </rPr>
      <t xml:space="preserve">  65 um</t>
    </r>
  </si>
  <si>
    <t>Sup  NATURÍSSIMOS 2X2</t>
  </si>
  <si>
    <t>Sup  AUCHAN 2X2</t>
  </si>
  <si>
    <t>Sup  AUCHAN 3X2</t>
  </si>
  <si>
    <t>Sup  NATURÍSSIMOS 3X2</t>
  </si>
  <si>
    <t>Sup  Azul  2x2   65 um</t>
  </si>
  <si>
    <r>
      <t xml:space="preserve"> Inf.  </t>
    </r>
    <r>
      <rPr>
        <b/>
        <sz val="10"/>
        <rFont val="Arial"/>
        <family val="2"/>
      </rPr>
      <t>Branco</t>
    </r>
    <r>
      <rPr>
        <sz val="10"/>
        <rFont val="Arial"/>
        <family val="2"/>
      </rPr>
      <t xml:space="preserve"> 250 um</t>
    </r>
  </si>
  <si>
    <r>
      <t xml:space="preserve">Inf.  </t>
    </r>
    <r>
      <rPr>
        <b/>
        <sz val="10"/>
        <rFont val="Arial"/>
        <family val="2"/>
      </rPr>
      <t>Transparente</t>
    </r>
    <r>
      <rPr>
        <sz val="10"/>
        <rFont val="Arial"/>
        <family val="2"/>
      </rPr>
      <t xml:space="preserve">  350 um</t>
    </r>
  </si>
  <si>
    <t>Inf Papel</t>
  </si>
  <si>
    <r>
      <t xml:space="preserve">Inf. </t>
    </r>
    <r>
      <rPr>
        <b/>
        <sz val="10"/>
        <rFont val="Arial"/>
        <family val="2"/>
      </rPr>
      <t xml:space="preserve">Transparente </t>
    </r>
    <r>
      <rPr>
        <sz val="10"/>
        <rFont val="Arial"/>
        <family val="2"/>
      </rPr>
      <t xml:space="preserve"> 500 um</t>
    </r>
  </si>
  <si>
    <r>
      <t xml:space="preserve">Inf.  </t>
    </r>
    <r>
      <rPr>
        <b/>
        <sz val="10"/>
        <rFont val="Arial"/>
        <family val="2"/>
      </rPr>
      <t xml:space="preserve">Beije  </t>
    </r>
    <r>
      <rPr>
        <sz val="10"/>
        <rFont val="Arial"/>
        <family val="2"/>
      </rPr>
      <t>400 um</t>
    </r>
  </si>
  <si>
    <t>Nº cx</t>
  </si>
  <si>
    <t>CAIXA FATIAS 200g</t>
  </si>
  <si>
    <t>CAIXA P/ FINISSIMOS</t>
  </si>
  <si>
    <t>CAIXA P/ CUBOS E TIRAS</t>
  </si>
  <si>
    <t>CAIXA ENTREM.SALG.+FAT.80+NBJ</t>
  </si>
  <si>
    <t>CAIXA FATIADOS 225G+Do Dia</t>
  </si>
  <si>
    <t>CAIXA FATIA DUO+PATA NEGRA+80G</t>
  </si>
  <si>
    <t>CAIXA SAMPLING FINISSIMOS</t>
  </si>
  <si>
    <t>CAIXA NATURISSIMOS</t>
  </si>
  <si>
    <t>CAIXA FATIADOS GRANDES 'DIA'</t>
  </si>
  <si>
    <t>CAIXA FATIADOS PEQUENOS 'DIA'</t>
  </si>
  <si>
    <t>CAIXA CUBOS FIAMBRE 150G 'DIA'</t>
  </si>
  <si>
    <t>CAIXA  EXPOSITORA</t>
  </si>
  <si>
    <t>SP3 VEGET PNK BS MEDITERRANEA T/SLI</t>
  </si>
  <si>
    <t>SP3 VEGET PNK BS PAPRIKA GR PEPPR T/SLI</t>
  </si>
  <si>
    <t>SP3 VEGET CC VEGETAIS ASSADOS P/FAT</t>
  </si>
  <si>
    <t>SP3 VEGET CC LEGUMES P/FAT</t>
  </si>
  <si>
    <t>SP3 VEGET WH BS ASPARAGUS T/SLI</t>
  </si>
  <si>
    <t>SP3 VEGET PNK BS VEGETABLES T/SLI</t>
  </si>
  <si>
    <t>SP3 VEGET MEDITERRANEA P/FAT (B)</t>
  </si>
  <si>
    <t>SP3 VEGETARIANO TIPO FRANGO P/FAT</t>
  </si>
  <si>
    <t>SP3 OMELETE BACON P/FAT</t>
  </si>
  <si>
    <t>SP3 OMELETE FIAMBRE P/FAT</t>
  </si>
  <si>
    <t>SP3 OMELETE FIAMBRE P/FAT PROMO</t>
  </si>
  <si>
    <t>PLANO DIÁRIO PARA A  LINHA DE FATIADOS - SEMANA 14 / 2026</t>
  </si>
  <si>
    <t>PV01</t>
  </si>
  <si>
    <t>CHOPPED PORK 95G 1E CJ*12</t>
  </si>
  <si>
    <t>PV02</t>
  </si>
  <si>
    <t>FAT FIAM P EX 3X350G 3XGAS FSR</t>
  </si>
  <si>
    <t>FAT F PERNA EXTRA GAS 11X120G NB</t>
  </si>
  <si>
    <t>FAT F PERNA EXTRA GAS 8X220G NB</t>
  </si>
  <si>
    <t>PV2</t>
  </si>
  <si>
    <t>FAT ECON FIAMBRE 14X100G   NBR</t>
  </si>
  <si>
    <t>FAT ECON S SELO FIAMBRE 14X100G NB</t>
  </si>
  <si>
    <t>PV04</t>
  </si>
  <si>
    <t>FAT PAIO YORK S/SELO GAS 12X90G ECON NB</t>
  </si>
  <si>
    <t>FAT PEITO FRANGO GAS 12X120G FL CF</t>
  </si>
  <si>
    <t>FAT PEITO PERU GAS 12X120G FL CF</t>
  </si>
  <si>
    <t>FIN F PERNA EXT GAS 8X110G CDT NB</t>
  </si>
  <si>
    <t>PV1</t>
  </si>
  <si>
    <t>FIN PEITO FRANGO GAS 8X110G CDT NB</t>
  </si>
  <si>
    <t>FIN FIAMBRE FRANGO GAS 8X140G ECON NB</t>
  </si>
  <si>
    <t>FIN F PERNA EXTRA GAS 6X220G NB</t>
  </si>
  <si>
    <t>FIN F PERNA EXTRA GAS 8X120G NB</t>
  </si>
  <si>
    <t>FAT MORTADELA PERU AZEIT. GAS 10X140G CF</t>
  </si>
  <si>
    <t>FIN FL PEITO FRANGO GAS 6X200G CF</t>
  </si>
  <si>
    <t>FIN FL PEITO PERU  8X120G CF</t>
  </si>
  <si>
    <t>FIN F PERNA EXTRA GAS 12X200G HAC</t>
  </si>
  <si>
    <t>FAT FIN FIAM P EXTRA GAS 21X200G SS CTE</t>
  </si>
  <si>
    <t>FAT CHOURIÇÃO 3X350G 3XGAS FSR</t>
  </si>
  <si>
    <t>FAT PAIO LOMBO GAS 10X100G NB</t>
  </si>
  <si>
    <t>FAT ECON CHOURIÇ 12X100G  NBR</t>
  </si>
  <si>
    <t>FAT ECON S SELO CHOURIÇ 12X100G NB</t>
  </si>
  <si>
    <t xml:space="preserve">FAT CHOURIÇÃO      14X200G PDC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</si>
</sst>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Univers Condensed"/>
      <family val="2"/>
    </font>
    <font>
      <b/>
      <sz val="12"/>
      <name val="Arial"/>
      <family val="2"/>
    </font>
    <font>
      <b/>
      <sz val="12"/>
      <name val="Univers Condensed"/>
      <family val="2"/>
    </font>
    <font>
      <sz val="10"/>
      <name val="Univers Condensed"/>
      <family val="2"/>
    </font>
    <font>
      <sz val="9"/>
      <name val="Univers Condensed"/>
      <family val="2"/>
    </font>
    <font>
      <sz val="12"/>
      <name val="Univers Condensed"/>
      <family val="2"/>
    </font>
    <font>
      <sz val="12"/>
      <name val="Arial"/>
      <family val="2"/>
    </font>
    <font>
      <b/>
      <sz val="12"/>
      <color rgb="FFFF0000"/>
      <name val="Univers Condensed"/>
      <family val="2"/>
    </font>
    <font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22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7">
    <xf numFmtId="0" fontId="0" fillId="0" borderId="0" xfId="0"/>
    <xf numFmtId="0" fontId="1" fillId="0" borderId="0" xfId="1" applyProtection="1">
      <protection locked="0"/>
    </xf>
    <xf numFmtId="0" fontId="1" fillId="0" borderId="0" xfId="2" applyProtection="1">
      <protection locked="0"/>
    </xf>
    <xf numFmtId="0" fontId="1" fillId="0" borderId="0" xfId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3" fontId="1" fillId="0" borderId="0" xfId="1" applyNumberFormat="1" applyProtection="1">
      <protection locked="0"/>
    </xf>
    <xf numFmtId="0" fontId="1" fillId="0" borderId="0" xfId="1"/>
    <xf numFmtId="0" fontId="1" fillId="0" borderId="1" xfId="1" applyBorder="1" applyProtection="1">
      <protection locked="0"/>
    </xf>
    <xf numFmtId="0" fontId="1" fillId="0" borderId="2" xfId="1" applyBorder="1" applyProtection="1">
      <protection locked="0"/>
    </xf>
    <xf numFmtId="0" fontId="1" fillId="0" borderId="7" xfId="1" applyBorder="1" applyProtection="1">
      <protection locked="0"/>
    </xf>
    <xf numFmtId="0" fontId="1" fillId="0" borderId="9" xfId="1" applyBorder="1" applyProtection="1">
      <protection locked="0"/>
    </xf>
    <xf numFmtId="0" fontId="1" fillId="0" borderId="10" xfId="1" applyBorder="1" applyProtection="1">
      <protection locked="0"/>
    </xf>
    <xf numFmtId="14" fontId="4" fillId="0" borderId="0" xfId="2" applyNumberFormat="1" applyFo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14" fontId="6" fillId="2" borderId="12" xfId="1" applyNumberFormat="1" applyFont="1" applyFill="1" applyBorder="1" applyAlignment="1" applyProtection="1">
      <alignment horizontal="center" vertical="center"/>
      <protection locked="0"/>
    </xf>
    <xf numFmtId="20" fontId="4" fillId="0" borderId="12" xfId="1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1" fillId="0" borderId="6" xfId="1" applyBorder="1" applyProtection="1">
      <protection locked="0"/>
    </xf>
    <xf numFmtId="0" fontId="5" fillId="0" borderId="0" xfId="1" applyFont="1" applyAlignment="1" applyProtection="1">
      <alignment horizontal="right"/>
      <protection locked="0"/>
    </xf>
    <xf numFmtId="14" fontId="4" fillId="0" borderId="0" xfId="1" applyNumberFormat="1" applyFont="1" applyProtection="1">
      <protection locked="0"/>
    </xf>
    <xf numFmtId="14" fontId="1" fillId="0" borderId="0" xfId="2" applyNumberFormat="1" applyProtection="1"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1" fillId="0" borderId="0" xfId="1" applyAlignment="1">
      <alignment vertical="center" wrapText="1"/>
    </xf>
    <xf numFmtId="0" fontId="8" fillId="0" borderId="0" xfId="1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5" fillId="2" borderId="12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4" fillId="2" borderId="12" xfId="2" applyFont="1" applyFill="1" applyBorder="1" applyAlignment="1" applyProtection="1">
      <alignment horizontal="center" vertical="center"/>
      <protection locked="0"/>
    </xf>
    <xf numFmtId="3" fontId="4" fillId="2" borderId="12" xfId="1" applyNumberFormat="1" applyFont="1" applyFill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2" fontId="4" fillId="0" borderId="12" xfId="1" applyNumberFormat="1" applyFont="1" applyBorder="1" applyAlignment="1" applyProtection="1">
      <alignment horizontal="center" vertical="center" wrapText="1"/>
      <protection locked="0"/>
    </xf>
    <xf numFmtId="0" fontId="8" fillId="0" borderId="10" xfId="1" applyFont="1" applyBorder="1" applyAlignment="1" applyProtection="1">
      <alignment horizontal="center"/>
      <protection locked="0"/>
    </xf>
    <xf numFmtId="0" fontId="8" fillId="0" borderId="10" xfId="2" applyFont="1" applyBorder="1" applyAlignment="1" applyProtection="1">
      <alignment horizontal="center"/>
      <protection locked="0"/>
    </xf>
    <xf numFmtId="0" fontId="8" fillId="0" borderId="10" xfId="1" applyFont="1" applyBorder="1" applyProtection="1">
      <protection locked="0"/>
    </xf>
    <xf numFmtId="3" fontId="8" fillId="0" borderId="10" xfId="1" applyNumberFormat="1" applyFont="1" applyBorder="1" applyAlignment="1" applyProtection="1">
      <alignment horizontal="center"/>
      <protection locked="0"/>
    </xf>
    <xf numFmtId="3" fontId="8" fillId="0" borderId="0" xfId="1" applyNumberFormat="1" applyFont="1" applyAlignment="1" applyProtection="1">
      <alignment horizontal="center"/>
      <protection locked="0"/>
    </xf>
    <xf numFmtId="164" fontId="8" fillId="0" borderId="0" xfId="1" applyNumberFormat="1" applyFont="1" applyAlignment="1" applyProtection="1">
      <alignment horizontal="center"/>
      <protection locked="0"/>
    </xf>
    <xf numFmtId="0" fontId="10" fillId="0" borderId="12" xfId="1" applyFont="1" applyBorder="1" applyAlignment="1" applyProtection="1">
      <alignment horizontal="center"/>
      <protection locked="0"/>
    </xf>
    <xf numFmtId="0" fontId="11" fillId="0" borderId="12" xfId="2" applyFont="1" applyBorder="1" applyAlignment="1" applyProtection="1">
      <alignment horizontal="center"/>
      <protection locked="0"/>
    </xf>
    <xf numFmtId="1" fontId="11" fillId="3" borderId="12" xfId="1" applyNumberFormat="1" applyFont="1" applyFill="1" applyBorder="1" applyAlignment="1" applyProtection="1">
      <alignment horizontal="center"/>
      <protection locked="0"/>
    </xf>
    <xf numFmtId="1" fontId="10" fillId="3" borderId="12" xfId="1" applyNumberFormat="1" applyFont="1" applyFill="1" applyBorder="1" applyAlignment="1" applyProtection="1">
      <alignment horizontal="center"/>
      <protection locked="0"/>
    </xf>
    <xf numFmtId="0" fontId="11" fillId="4" borderId="12" xfId="1" applyFont="1" applyFill="1" applyBorder="1" applyProtection="1">
      <protection locked="0"/>
    </xf>
    <xf numFmtId="0" fontId="11" fillId="4" borderId="12" xfId="1" applyFont="1" applyFill="1" applyBorder="1" applyAlignment="1" applyProtection="1">
      <alignment horizontal="center"/>
      <protection locked="0"/>
    </xf>
    <xf numFmtId="0" fontId="7" fillId="4" borderId="12" xfId="1" applyFont="1" applyFill="1" applyBorder="1" applyAlignment="1" applyProtection="1">
      <alignment horizontal="center"/>
      <protection locked="0"/>
    </xf>
    <xf numFmtId="1" fontId="11" fillId="4" borderId="12" xfId="1" applyNumberFormat="1" applyFont="1" applyFill="1" applyBorder="1" applyAlignment="1" applyProtection="1">
      <alignment horizontal="center"/>
      <protection locked="0"/>
    </xf>
    <xf numFmtId="3" fontId="11" fillId="4" borderId="12" xfId="2" applyNumberFormat="1" applyFont="1" applyFill="1" applyBorder="1" applyAlignment="1" applyProtection="1">
      <alignment horizontal="center"/>
      <protection locked="0"/>
    </xf>
    <xf numFmtId="3" fontId="11" fillId="4" borderId="12" xfId="1" applyNumberFormat="1" applyFont="1" applyFill="1" applyBorder="1" applyAlignment="1" applyProtection="1">
      <alignment horizontal="center"/>
      <protection locked="0"/>
    </xf>
    <xf numFmtId="165" fontId="10" fillId="3" borderId="12" xfId="1" applyNumberFormat="1" applyFont="1" applyFill="1" applyBorder="1" applyAlignment="1" applyProtection="1">
      <alignment horizontal="center"/>
      <protection locked="0"/>
    </xf>
    <xf numFmtId="3" fontId="11" fillId="0" borderId="12" xfId="1" applyNumberFormat="1" applyFont="1" applyBorder="1" applyAlignment="1" applyProtection="1">
      <alignment horizontal="center"/>
      <protection locked="0"/>
    </xf>
    <xf numFmtId="3" fontId="10" fillId="0" borderId="0" xfId="1" applyNumberFormat="1" applyFont="1" applyAlignment="1" applyProtection="1">
      <alignment horizontal="center"/>
      <protection locked="0"/>
    </xf>
    <xf numFmtId="164" fontId="10" fillId="0" borderId="0" xfId="2" applyNumberFormat="1" applyFont="1" applyAlignment="1" applyProtection="1">
      <alignment horizontal="center"/>
      <protection locked="0"/>
    </xf>
    <xf numFmtId="164" fontId="10" fillId="0" borderId="0" xfId="1" applyNumberFormat="1" applyFont="1" applyAlignment="1" applyProtection="1">
      <alignment horizontal="right"/>
      <protection locked="0"/>
    </xf>
    <xf numFmtId="20" fontId="11" fillId="4" borderId="12" xfId="1" applyNumberFormat="1" applyFont="1" applyFill="1" applyBorder="1" applyAlignment="1" applyProtection="1">
      <alignment horizontal="center"/>
      <protection locked="0"/>
    </xf>
    <xf numFmtId="1" fontId="8" fillId="3" borderId="12" xfId="1" applyNumberFormat="1" applyFont="1" applyFill="1" applyBorder="1" applyAlignment="1" applyProtection="1">
      <alignment horizontal="center"/>
      <protection locked="0"/>
    </xf>
    <xf numFmtId="2" fontId="8" fillId="3" borderId="12" xfId="1" applyNumberFormat="1" applyFont="1" applyFill="1" applyBorder="1" applyAlignment="1" applyProtection="1">
      <alignment horizontal="center"/>
      <protection locked="0"/>
    </xf>
    <xf numFmtId="1" fontId="1" fillId="0" borderId="0" xfId="1" applyNumberFormat="1" applyProtection="1">
      <protection locked="0"/>
    </xf>
    <xf numFmtId="14" fontId="1" fillId="0" borderId="0" xfId="1" applyNumberFormat="1" applyProtection="1">
      <protection locked="0"/>
    </xf>
    <xf numFmtId="9" fontId="11" fillId="0" borderId="12" xfId="1" applyNumberFormat="1" applyFont="1" applyBorder="1" applyAlignment="1" applyProtection="1">
      <alignment horizontal="center"/>
      <protection locked="0"/>
    </xf>
    <xf numFmtId="0" fontId="10" fillId="5" borderId="12" xfId="1" applyFont="1" applyFill="1" applyBorder="1" applyAlignment="1" applyProtection="1">
      <alignment horizontal="center"/>
      <protection locked="0"/>
    </xf>
    <xf numFmtId="0" fontId="12" fillId="4" borderId="12" xfId="1" applyFont="1" applyFill="1" applyBorder="1" applyAlignment="1" applyProtection="1">
      <alignment horizontal="center"/>
      <protection locked="0"/>
    </xf>
    <xf numFmtId="164" fontId="10" fillId="0" borderId="0" xfId="1" applyNumberFormat="1" applyFont="1" applyProtection="1">
      <protection locked="0"/>
    </xf>
    <xf numFmtId="3" fontId="11" fillId="6" borderId="12" xfId="1" applyNumberFormat="1" applyFont="1" applyFill="1" applyBorder="1" applyAlignment="1" applyProtection="1">
      <alignment horizontal="center"/>
      <protection locked="0"/>
    </xf>
    <xf numFmtId="0" fontId="11" fillId="0" borderId="12" xfId="1" applyFont="1" applyBorder="1" applyAlignment="1" applyProtection="1">
      <alignment horizontal="center"/>
      <protection locked="0"/>
    </xf>
    <xf numFmtId="3" fontId="13" fillId="0" borderId="12" xfId="1" applyNumberFormat="1" applyFont="1" applyBorder="1" applyAlignment="1" applyProtection="1">
      <alignment horizontal="center"/>
      <protection locked="0"/>
    </xf>
    <xf numFmtId="0" fontId="11" fillId="5" borderId="12" xfId="1" applyFont="1" applyFill="1" applyBorder="1" applyAlignment="1" applyProtection="1">
      <alignment horizontal="center"/>
      <protection locked="0"/>
    </xf>
    <xf numFmtId="0" fontId="10" fillId="4" borderId="12" xfId="1" applyFont="1" applyFill="1" applyBorder="1" applyAlignment="1" applyProtection="1">
      <alignment horizontal="center"/>
      <protection locked="0"/>
    </xf>
    <xf numFmtId="3" fontId="6" fillId="4" borderId="12" xfId="1" applyNumberFormat="1" applyFont="1" applyFill="1" applyBorder="1" applyAlignment="1" applyProtection="1">
      <alignment horizontal="center"/>
      <protection locked="0"/>
    </xf>
    <xf numFmtId="0" fontId="11" fillId="0" borderId="12" xfId="1" applyFont="1" applyBorder="1" applyProtection="1">
      <protection locked="0"/>
    </xf>
    <xf numFmtId="3" fontId="10" fillId="4" borderId="12" xfId="1" applyNumberFormat="1" applyFont="1" applyFill="1" applyBorder="1" applyAlignment="1" applyProtection="1">
      <alignment horizontal="center"/>
      <protection locked="0"/>
    </xf>
    <xf numFmtId="0" fontId="11" fillId="0" borderId="12" xfId="2" applyFont="1" applyBorder="1" applyProtection="1">
      <protection locked="0"/>
    </xf>
    <xf numFmtId="0" fontId="10" fillId="4" borderId="12" xfId="1" applyFont="1" applyFill="1" applyBorder="1" applyProtection="1">
      <protection locked="0"/>
    </xf>
    <xf numFmtId="9" fontId="10" fillId="0" borderId="0" xfId="1" applyNumberFormat="1" applyFont="1" applyAlignment="1" applyProtection="1">
      <alignment horizontal="center"/>
      <protection locked="0"/>
    </xf>
    <xf numFmtId="20" fontId="10" fillId="4" borderId="12" xfId="1" applyNumberFormat="1" applyFont="1" applyFill="1" applyBorder="1" applyAlignment="1" applyProtection="1">
      <alignment horizontal="center"/>
      <protection locked="0"/>
    </xf>
    <xf numFmtId="0" fontId="11" fillId="0" borderId="0" xfId="1" applyFont="1" applyProtection="1">
      <protection locked="0"/>
    </xf>
    <xf numFmtId="0" fontId="11" fillId="0" borderId="0" xfId="2" applyFont="1" applyProtection="1">
      <protection locked="0"/>
    </xf>
    <xf numFmtId="0" fontId="10" fillId="0" borderId="0" xfId="1" applyFont="1" applyAlignment="1" applyProtection="1">
      <alignment horizontal="center"/>
      <protection locked="0"/>
    </xf>
    <xf numFmtId="0" fontId="11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/>
      <protection locked="0"/>
    </xf>
    <xf numFmtId="3" fontId="10" fillId="0" borderId="12" xfId="1" applyNumberFormat="1" applyFont="1" applyBorder="1" applyAlignment="1" applyProtection="1">
      <alignment horizontal="center"/>
      <protection locked="0"/>
    </xf>
    <xf numFmtId="164" fontId="10" fillId="0" borderId="0" xfId="1" applyNumberFormat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/>
      <protection locked="0"/>
    </xf>
    <xf numFmtId="3" fontId="11" fillId="0" borderId="0" xfId="1" applyNumberFormat="1" applyFont="1" applyProtection="1">
      <protection locked="0"/>
    </xf>
    <xf numFmtId="3" fontId="11" fillId="0" borderId="0" xfId="1" applyNumberFormat="1" applyFont="1" applyAlignment="1" applyProtection="1">
      <alignment horizontal="center"/>
      <protection locked="0"/>
    </xf>
    <xf numFmtId="3" fontId="10" fillId="0" borderId="0" xfId="1" applyNumberFormat="1" applyFont="1" applyAlignment="1" applyProtection="1">
      <alignment horizontal="left"/>
      <protection locked="0"/>
    </xf>
    <xf numFmtId="0" fontId="6" fillId="0" borderId="0" xfId="1" applyFont="1" applyProtection="1">
      <protection locked="0"/>
    </xf>
    <xf numFmtId="0" fontId="11" fillId="7" borderId="4" xfId="1" applyFont="1" applyFill="1" applyBorder="1" applyProtection="1">
      <protection locked="0"/>
    </xf>
    <xf numFmtId="0" fontId="11" fillId="7" borderId="6" xfId="1" applyFont="1" applyFill="1" applyBorder="1" applyProtection="1">
      <protection locked="0"/>
    </xf>
    <xf numFmtId="0" fontId="1" fillId="7" borderId="12" xfId="1" applyFill="1" applyBorder="1" applyProtection="1">
      <protection locked="0"/>
    </xf>
    <xf numFmtId="10" fontId="1" fillId="7" borderId="12" xfId="1" applyNumberFormat="1" applyFill="1" applyBorder="1" applyProtection="1">
      <protection locked="0"/>
    </xf>
    <xf numFmtId="0" fontId="4" fillId="0" borderId="0" xfId="1" applyFont="1" applyProtection="1">
      <protection locked="0"/>
    </xf>
    <xf numFmtId="3" fontId="4" fillId="2" borderId="4" xfId="1" applyNumberFormat="1" applyFont="1" applyFill="1" applyBorder="1" applyProtection="1">
      <protection locked="0"/>
    </xf>
    <xf numFmtId="10" fontId="1" fillId="0" borderId="0" xfId="1" applyNumberFormat="1" applyProtection="1">
      <protection locked="0"/>
    </xf>
    <xf numFmtId="0" fontId="7" fillId="0" borderId="0" xfId="1" applyFont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/>
      <protection locked="0"/>
    </xf>
    <xf numFmtId="0" fontId="1" fillId="0" borderId="0" xfId="1" applyAlignment="1" applyProtection="1">
      <alignment horizontal="left"/>
      <protection locked="0"/>
    </xf>
    <xf numFmtId="1" fontId="11" fillId="0" borderId="0" xfId="1" applyNumberFormat="1" applyFont="1" applyAlignment="1" applyProtection="1">
      <alignment horizontal="center"/>
      <protection locked="0"/>
    </xf>
    <xf numFmtId="0" fontId="11" fillId="0" borderId="0" xfId="1" quotePrefix="1" applyFont="1" applyAlignment="1" applyProtection="1">
      <alignment horizontal="center"/>
      <protection locked="0"/>
    </xf>
    <xf numFmtId="1" fontId="1" fillId="0" borderId="12" xfId="1" applyNumberFormat="1" applyBorder="1" applyAlignment="1" applyProtection="1">
      <alignment horizontal="right"/>
      <protection locked="0"/>
    </xf>
    <xf numFmtId="0" fontId="1" fillId="0" borderId="12" xfId="1" applyBorder="1" applyAlignment="1" applyProtection="1">
      <alignment horizontal="left"/>
      <protection locked="0"/>
    </xf>
    <xf numFmtId="1" fontId="11" fillId="0" borderId="12" xfId="1" applyNumberFormat="1" applyFont="1" applyBorder="1" applyAlignment="1" applyProtection="1">
      <alignment horizontal="center"/>
      <protection locked="0"/>
    </xf>
    <xf numFmtId="1" fontId="11" fillId="0" borderId="12" xfId="1" applyNumberFormat="1" applyFont="1" applyBorder="1" applyAlignment="1" applyProtection="1">
      <alignment horizontal="left"/>
      <protection locked="0"/>
    </xf>
    <xf numFmtId="1" fontId="1" fillId="0" borderId="12" xfId="1" applyNumberFormat="1" applyBorder="1" applyProtection="1">
      <protection locked="0"/>
    </xf>
    <xf numFmtId="0" fontId="1" fillId="0" borderId="12" xfId="1" applyBorder="1" applyProtection="1">
      <protection locked="0"/>
    </xf>
    <xf numFmtId="1" fontId="1" fillId="0" borderId="12" xfId="1" applyNumberFormat="1" applyBorder="1"/>
    <xf numFmtId="0" fontId="4" fillId="0" borderId="12" xfId="1" applyFont="1" applyBorder="1"/>
    <xf numFmtId="0" fontId="1" fillId="0" borderId="12" xfId="1" applyBorder="1"/>
    <xf numFmtId="1" fontId="1" fillId="0" borderId="0" xfId="1" applyNumberFormat="1"/>
    <xf numFmtId="1" fontId="11" fillId="0" borderId="0" xfId="1" applyNumberFormat="1" applyFont="1" applyAlignment="1" applyProtection="1">
      <alignment horizontal="left"/>
      <protection locked="0"/>
    </xf>
    <xf numFmtId="1" fontId="4" fillId="0" borderId="12" xfId="1" applyNumberFormat="1" applyFont="1" applyBorder="1" applyProtection="1">
      <protection locked="0"/>
    </xf>
    <xf numFmtId="0" fontId="4" fillId="0" borderId="12" xfId="1" applyFont="1" applyBorder="1" applyProtection="1">
      <protection locked="0"/>
    </xf>
    <xf numFmtId="0" fontId="1" fillId="0" borderId="1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2" applyFont="1" applyAlignment="1">
      <alignment horizontal="left"/>
    </xf>
    <xf numFmtId="1" fontId="16" fillId="0" borderId="12" xfId="1" applyNumberFormat="1" applyFont="1" applyBorder="1" applyProtection="1">
      <protection locked="0"/>
    </xf>
    <xf numFmtId="0" fontId="16" fillId="0" borderId="12" xfId="1" applyFont="1" applyBorder="1" applyProtection="1">
      <protection locked="0"/>
    </xf>
    <xf numFmtId="1" fontId="13" fillId="0" borderId="12" xfId="1" applyNumberFormat="1" applyFont="1" applyBorder="1" applyAlignment="1" applyProtection="1">
      <alignment horizont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/>
      <protection locked="0"/>
    </xf>
    <xf numFmtId="0" fontId="3" fillId="0" borderId="7" xfId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center" vertical="center"/>
      <protection locked="0"/>
    </xf>
    <xf numFmtId="3" fontId="4" fillId="0" borderId="4" xfId="1" applyNumberFormat="1" applyFont="1" applyBorder="1" applyAlignment="1" applyProtection="1">
      <alignment horizontal="center" vertical="center"/>
      <protection locked="0"/>
    </xf>
    <xf numFmtId="3" fontId="4" fillId="0" borderId="5" xfId="1" applyNumberFormat="1" applyFont="1" applyBorder="1" applyAlignment="1" applyProtection="1">
      <alignment horizontal="center" vertical="center"/>
      <protection locked="0"/>
    </xf>
    <xf numFmtId="3" fontId="4" fillId="0" borderId="6" xfId="1" applyNumberFormat="1" applyFont="1" applyBorder="1" applyAlignment="1" applyProtection="1">
      <alignment horizontal="center" vertical="center"/>
      <protection locked="0"/>
    </xf>
    <xf numFmtId="22" fontId="4" fillId="0" borderId="4" xfId="1" applyNumberFormat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1" fillId="8" borderId="12" xfId="1" applyFill="1" applyBorder="1" applyAlignment="1" applyProtection="1">
      <alignment horizontal="center" vertical="center"/>
      <protection locked="0"/>
    </xf>
    <xf numFmtId="0" fontId="11" fillId="8" borderId="12" xfId="1" applyFont="1" applyFill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center" wrapText="1"/>
      <protection locked="0"/>
    </xf>
  </cellXfs>
  <cellStyles count="3">
    <cellStyle name="Normal" xfId="0" builtinId="0"/>
    <cellStyle name="Normal 11" xfId="1" xr:uid="{4DA30559-349D-4807-B139-824397EC598E}"/>
    <cellStyle name="Normal 2" xfId="2" xr:uid="{F934D7DC-E4D8-4411-97B8-F10D3FD05CA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28575</xdr:rowOff>
    </xdr:to>
    <xdr:pic>
      <xdr:nvPicPr>
        <xdr:cNvPr id="2" name="Picture 10" descr="cid:image004.png@01D8135F.DC5DB820">
          <a:extLst>
            <a:ext uri="{FF2B5EF4-FFF2-40B4-BE49-F238E27FC236}">
              <a16:creationId xmlns:a16="http://schemas.microsoft.com/office/drawing/2014/main" id="{40B9A9EF-BBCF-4450-9F62-90D9E5952D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1581150" cy="6762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28575</xdr:rowOff>
    </xdr:to>
    <xdr:pic>
      <xdr:nvPicPr>
        <xdr:cNvPr id="3" name="Picture 10" descr="cid:image004.png@01D8135F.DC5DB820">
          <a:extLst>
            <a:ext uri="{FF2B5EF4-FFF2-40B4-BE49-F238E27FC236}">
              <a16:creationId xmlns:a16="http://schemas.microsoft.com/office/drawing/2014/main" id="{DC33B7CC-210A-488F-A85A-4E5FD37914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1581150" cy="6762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ACC0-69C4-48C9-9793-21CDE70B131A}">
  <sheetPr>
    <pageSetUpPr fitToPage="1"/>
  </sheetPr>
  <dimension ref="A1:AC114"/>
  <sheetViews>
    <sheetView tabSelected="1" topLeftCell="J11" zoomScaleNormal="100" zoomScaleSheetLayoutView="42" workbookViewId="0">
      <selection activeCell="S26" sqref="S26"/>
    </sheetView>
  </sheetViews>
  <sheetFormatPr defaultColWidth="9.1796875" defaultRowHeight="12.75" customHeight="1" outlineLevelCol="1" x14ac:dyDescent="0.25"/>
  <cols>
    <col min="1" max="1" width="13" style="6" customWidth="1"/>
    <col min="2" max="2" width="10.7265625" style="1" customWidth="1"/>
    <col min="3" max="3" width="10.7265625" style="6" customWidth="1"/>
    <col min="4" max="4" width="10.7265625" style="6" hidden="1" customWidth="1"/>
    <col min="5" max="5" width="10.1796875" style="6" customWidth="1"/>
    <col min="6" max="6" width="10.26953125" style="6" hidden="1" customWidth="1" outlineLevel="1"/>
    <col min="7" max="7" width="8" style="6" hidden="1" customWidth="1" outlineLevel="1"/>
    <col min="8" max="8" width="51.81640625" style="6" customWidth="1" collapsed="1"/>
    <col min="9" max="9" width="17.7265625" style="6" customWidth="1"/>
    <col min="10" max="10" width="41.26953125" style="6" customWidth="1"/>
    <col min="11" max="11" width="12.1796875" style="6" bestFit="1" customWidth="1"/>
    <col min="12" max="12" width="17.81640625" style="6" customWidth="1"/>
    <col min="13" max="13" width="8.81640625" style="6" bestFit="1" customWidth="1"/>
    <col min="14" max="14" width="11.81640625" style="6" customWidth="1" outlineLevel="1"/>
    <col min="15" max="15" width="12" style="6" customWidth="1" outlineLevel="1"/>
    <col min="16" max="17" width="12.26953125" style="6" customWidth="1" outlineLevel="1"/>
    <col min="18" max="19" width="9.1796875" style="6" customWidth="1" outlineLevel="1"/>
    <col min="20" max="20" width="9.81640625" style="6" customWidth="1"/>
    <col min="21" max="21" width="10" style="6" customWidth="1" outlineLevel="1"/>
    <col min="22" max="22" width="10.26953125" style="6" customWidth="1" outlineLevel="1"/>
    <col min="23" max="23" width="11.1796875" style="6" customWidth="1"/>
    <col min="24" max="24" width="11.54296875" style="6" customWidth="1"/>
    <col min="25" max="25" width="9.1796875" style="6"/>
    <col min="26" max="28" width="10.1796875" style="6" bestFit="1" customWidth="1"/>
    <col min="29" max="16384" width="9.1796875" style="6"/>
  </cols>
  <sheetData>
    <row r="1" spans="1:29" ht="12.5" x14ac:dyDescent="0.25">
      <c r="A1" s="1"/>
      <c r="C1" s="2"/>
      <c r="D1" s="2"/>
      <c r="E1" s="1"/>
      <c r="F1" s="1"/>
      <c r="G1" s="1"/>
      <c r="H1" s="1"/>
      <c r="I1" s="1"/>
      <c r="J1" s="3"/>
      <c r="K1" s="3"/>
      <c r="L1" s="3"/>
      <c r="M1" s="4"/>
      <c r="N1" s="1"/>
      <c r="O1" s="5"/>
      <c r="P1" s="5"/>
      <c r="Q1" s="5"/>
      <c r="R1" s="1"/>
      <c r="S1" s="1"/>
      <c r="T1" s="3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 x14ac:dyDescent="0.25">
      <c r="A2" s="7"/>
      <c r="B2" s="8"/>
      <c r="C2" s="117" t="s">
        <v>161</v>
      </c>
      <c r="D2" s="118"/>
      <c r="E2" s="118"/>
      <c r="F2" s="118"/>
      <c r="G2" s="118"/>
      <c r="H2" s="118"/>
      <c r="I2" s="118"/>
      <c r="J2" s="118"/>
      <c r="K2" s="119"/>
      <c r="L2" s="126" t="s">
        <v>0</v>
      </c>
      <c r="M2" s="127"/>
      <c r="N2" s="127"/>
      <c r="O2" s="127"/>
      <c r="P2" s="127"/>
      <c r="Q2" s="127"/>
      <c r="R2" s="127"/>
      <c r="S2" s="127"/>
      <c r="T2" s="128"/>
      <c r="U2" s="1"/>
      <c r="V2" s="1"/>
      <c r="W2" s="1"/>
      <c r="X2" s="1"/>
      <c r="Y2" s="1"/>
      <c r="Z2" s="1"/>
      <c r="AA2" s="1"/>
      <c r="AB2" s="1"/>
      <c r="AC2" s="1"/>
    </row>
    <row r="3" spans="1:29" ht="12.75" customHeight="1" x14ac:dyDescent="0.25">
      <c r="A3" s="9"/>
      <c r="C3" s="120"/>
      <c r="D3" s="121"/>
      <c r="E3" s="121"/>
      <c r="F3" s="121"/>
      <c r="G3" s="121"/>
      <c r="H3" s="121"/>
      <c r="I3" s="121"/>
      <c r="J3" s="121"/>
      <c r="K3" s="122"/>
      <c r="L3" s="126"/>
      <c r="M3" s="127"/>
      <c r="N3" s="127"/>
      <c r="O3" s="127"/>
      <c r="P3" s="127"/>
      <c r="Q3" s="127"/>
      <c r="R3" s="127"/>
      <c r="S3" s="127"/>
      <c r="T3" s="128"/>
      <c r="U3" s="1"/>
      <c r="V3" s="1"/>
      <c r="W3" s="1"/>
      <c r="X3" s="1"/>
      <c r="Y3" s="1"/>
      <c r="Z3" s="1"/>
      <c r="AA3" s="1"/>
      <c r="AB3" s="1"/>
      <c r="AC3" s="1"/>
    </row>
    <row r="4" spans="1:29" ht="12.75" customHeight="1" x14ac:dyDescent="0.25">
      <c r="A4" s="9"/>
      <c r="C4" s="120"/>
      <c r="D4" s="121"/>
      <c r="E4" s="121"/>
      <c r="F4" s="121"/>
      <c r="G4" s="121"/>
      <c r="H4" s="121"/>
      <c r="I4" s="121"/>
      <c r="J4" s="121"/>
      <c r="K4" s="122"/>
      <c r="L4" s="129">
        <v>46113.665350694442</v>
      </c>
      <c r="M4" s="130"/>
      <c r="N4" s="130"/>
      <c r="O4" s="130"/>
      <c r="P4" s="130"/>
      <c r="Q4" s="130"/>
      <c r="R4" s="130"/>
      <c r="S4" s="130"/>
      <c r="T4" s="131"/>
      <c r="U4" s="1"/>
      <c r="V4" s="1"/>
      <c r="W4" s="1"/>
      <c r="X4" s="1"/>
      <c r="Y4" s="1"/>
      <c r="Z4" s="1"/>
      <c r="AA4" s="1"/>
      <c r="AB4" s="1"/>
      <c r="AC4" s="1"/>
    </row>
    <row r="5" spans="1:29" ht="12.75" customHeight="1" x14ac:dyDescent="0.25">
      <c r="A5" s="10"/>
      <c r="B5" s="11"/>
      <c r="C5" s="123"/>
      <c r="D5" s="124"/>
      <c r="E5" s="124"/>
      <c r="F5" s="124"/>
      <c r="G5" s="124"/>
      <c r="H5" s="124"/>
      <c r="I5" s="124"/>
      <c r="J5" s="124"/>
      <c r="K5" s="125"/>
      <c r="L5" s="132"/>
      <c r="M5" s="130"/>
      <c r="N5" s="130"/>
      <c r="O5" s="130"/>
      <c r="P5" s="130"/>
      <c r="Q5" s="130"/>
      <c r="R5" s="130"/>
      <c r="S5" s="130"/>
      <c r="T5" s="131"/>
      <c r="U5" s="1"/>
      <c r="V5" s="1"/>
      <c r="W5" s="1"/>
      <c r="X5" s="1"/>
      <c r="Y5" s="1"/>
      <c r="Z5" s="1"/>
      <c r="AA5" s="1"/>
      <c r="AB5" s="1"/>
      <c r="AC5" s="1"/>
    </row>
    <row r="6" spans="1:29" ht="20.149999999999999" customHeight="1" x14ac:dyDescent="0.3">
      <c r="A6" s="1"/>
      <c r="C6" s="12"/>
      <c r="D6" s="12"/>
      <c r="E6" s="1"/>
      <c r="F6" s="1"/>
      <c r="G6" s="1"/>
      <c r="H6" s="1"/>
      <c r="I6" s="1"/>
      <c r="J6" s="3"/>
      <c r="K6" s="3"/>
      <c r="L6" s="3"/>
      <c r="M6" s="4"/>
      <c r="N6" s="1"/>
      <c r="O6" s="5"/>
      <c r="P6" s="5"/>
      <c r="Q6" s="5"/>
      <c r="R6" s="1"/>
      <c r="S6" s="1"/>
      <c r="T6" s="3"/>
      <c r="U6" s="1"/>
      <c r="V6" s="1"/>
      <c r="W6" s="1"/>
      <c r="X6" s="1"/>
      <c r="Y6" s="1"/>
      <c r="Z6" s="1"/>
      <c r="AA6" s="1"/>
      <c r="AB6" s="1"/>
      <c r="AC6" s="1"/>
    </row>
    <row r="7" spans="1:29" ht="20.149999999999999" customHeight="1" x14ac:dyDescent="0.3">
      <c r="A7" s="1"/>
      <c r="C7" s="13"/>
      <c r="D7" s="13"/>
      <c r="E7" s="1"/>
      <c r="F7" s="1"/>
      <c r="G7" s="1"/>
      <c r="H7" s="14" t="s">
        <v>1</v>
      </c>
      <c r="I7" s="14"/>
      <c r="J7" s="14">
        <v>46114</v>
      </c>
      <c r="K7" s="3"/>
      <c r="L7" s="3"/>
      <c r="M7" s="4"/>
      <c r="N7" s="1"/>
      <c r="O7" s="5"/>
      <c r="P7" s="5"/>
      <c r="Q7" s="5"/>
      <c r="R7" s="1"/>
      <c r="S7" s="1"/>
      <c r="T7" s="3"/>
      <c r="U7" s="1"/>
      <c r="V7" s="1"/>
      <c r="W7" s="1"/>
      <c r="X7" s="1"/>
      <c r="Y7" s="1"/>
      <c r="Z7" s="1"/>
      <c r="AA7" s="15">
        <v>0.33333333333333331</v>
      </c>
      <c r="AB7" s="16" t="s">
        <v>2</v>
      </c>
      <c r="AC7" s="17"/>
    </row>
    <row r="8" spans="1:29" ht="12.75" customHeight="1" x14ac:dyDescent="0.3">
      <c r="A8" s="18"/>
      <c r="B8" s="19"/>
      <c r="C8" s="20"/>
      <c r="D8" s="20"/>
      <c r="E8" s="1"/>
      <c r="F8" s="1"/>
      <c r="G8" s="1"/>
      <c r="H8" s="21"/>
      <c r="I8" s="21"/>
      <c r="J8" s="22"/>
      <c r="K8" s="22"/>
      <c r="L8" s="23"/>
      <c r="M8" s="24"/>
      <c r="N8" s="25"/>
      <c r="O8" s="5"/>
      <c r="P8" s="5"/>
      <c r="Q8" s="5"/>
      <c r="R8" s="1"/>
      <c r="S8" s="1"/>
      <c r="T8" s="3"/>
      <c r="U8" s="1"/>
      <c r="V8" s="1"/>
      <c r="W8" s="1"/>
      <c r="X8" s="1"/>
      <c r="Y8" s="1"/>
      <c r="Z8" s="1"/>
      <c r="AA8" s="1"/>
      <c r="AB8" s="1"/>
      <c r="AC8" s="1"/>
    </row>
    <row r="9" spans="1:29" ht="25" customHeight="1" x14ac:dyDescent="0.25">
      <c r="A9" s="26" t="s">
        <v>3</v>
      </c>
      <c r="B9" s="27" t="s">
        <v>4</v>
      </c>
      <c r="C9" s="28" t="s">
        <v>5</v>
      </c>
      <c r="D9" s="28"/>
      <c r="E9" s="27" t="s">
        <v>6</v>
      </c>
      <c r="F9" s="27" t="s">
        <v>7</v>
      </c>
      <c r="G9" s="27" t="s">
        <v>8</v>
      </c>
      <c r="H9" s="27" t="s">
        <v>9</v>
      </c>
      <c r="I9" s="28" t="s">
        <v>10</v>
      </c>
      <c r="J9" s="27" t="s">
        <v>11</v>
      </c>
      <c r="K9" s="27" t="s">
        <v>12</v>
      </c>
      <c r="L9" s="27" t="s">
        <v>13</v>
      </c>
      <c r="M9" s="27" t="s">
        <v>14</v>
      </c>
      <c r="N9" s="27" t="s">
        <v>15</v>
      </c>
      <c r="O9" s="29" t="s">
        <v>16</v>
      </c>
      <c r="P9" s="29" t="s">
        <v>17</v>
      </c>
      <c r="Q9" s="29" t="s">
        <v>18</v>
      </c>
      <c r="R9" s="27" t="s">
        <v>19</v>
      </c>
      <c r="S9" s="27"/>
      <c r="T9" s="27" t="s">
        <v>20</v>
      </c>
      <c r="U9" s="30" t="s">
        <v>21</v>
      </c>
      <c r="V9" s="30" t="s">
        <v>22</v>
      </c>
      <c r="W9" s="30" t="s">
        <v>23</v>
      </c>
      <c r="X9" s="30" t="s">
        <v>24</v>
      </c>
      <c r="Y9" s="1"/>
      <c r="Z9" s="1"/>
      <c r="AA9" s="31" t="s">
        <v>25</v>
      </c>
      <c r="AB9" s="31" t="s">
        <v>26</v>
      </c>
      <c r="AC9" s="31" t="s">
        <v>27</v>
      </c>
    </row>
    <row r="10" spans="1:29" ht="12.75" customHeight="1" x14ac:dyDescent="0.3">
      <c r="A10" s="32"/>
      <c r="B10" s="32"/>
      <c r="C10" s="33"/>
      <c r="D10" s="33"/>
      <c r="E10" s="32"/>
      <c r="F10" s="32"/>
      <c r="G10" s="32"/>
      <c r="H10" s="34" t="s">
        <v>28</v>
      </c>
      <c r="I10" s="34"/>
      <c r="J10" s="32"/>
      <c r="K10" s="32"/>
      <c r="L10" s="32"/>
      <c r="M10" s="32"/>
      <c r="N10" s="32"/>
      <c r="O10" s="35"/>
      <c r="P10" s="35"/>
      <c r="Q10" s="36"/>
      <c r="R10" s="37"/>
      <c r="S10" s="37"/>
      <c r="T10" s="32"/>
      <c r="U10" s="32"/>
      <c r="V10" s="32"/>
      <c r="W10" s="32"/>
      <c r="X10" s="32"/>
      <c r="Y10" s="1"/>
      <c r="Z10" s="1"/>
      <c r="AA10" s="1"/>
      <c r="AB10" s="1"/>
      <c r="AC10" s="1"/>
    </row>
    <row r="11" spans="1:29" ht="15.5" x14ac:dyDescent="0.35">
      <c r="A11" s="38" t="s">
        <v>29</v>
      </c>
      <c r="B11" s="39">
        <v>38095</v>
      </c>
      <c r="C11" s="39" t="s">
        <v>162</v>
      </c>
      <c r="D11" s="39">
        <v>1</v>
      </c>
      <c r="E11" s="40">
        <v>1902829</v>
      </c>
      <c r="F11" s="41">
        <v>4041556</v>
      </c>
      <c r="G11" s="41">
        <v>4037827</v>
      </c>
      <c r="H11" s="42" t="s">
        <v>163</v>
      </c>
      <c r="I11" s="43">
        <v>12164193</v>
      </c>
      <c r="J11" s="44"/>
      <c r="K11" s="45">
        <v>2365.5913978494623</v>
      </c>
      <c r="L11" s="46">
        <v>23157</v>
      </c>
      <c r="M11" s="47">
        <v>1929.75</v>
      </c>
      <c r="N11" s="48">
        <v>9.5000000000000001E-2</v>
      </c>
      <c r="O11" s="49">
        <v>2200</v>
      </c>
      <c r="P11" s="49"/>
      <c r="Q11" s="50">
        <v>2200</v>
      </c>
      <c r="R11" s="51">
        <v>6.847754411538161</v>
      </c>
      <c r="S11" s="52">
        <v>16</v>
      </c>
      <c r="T11" s="53">
        <v>0.66666666666666663</v>
      </c>
      <c r="U11" s="54" t="e">
        <v>#N/A</v>
      </c>
      <c r="V11" s="54" t="e">
        <v>#N/A</v>
      </c>
      <c r="W11" s="54">
        <v>4036583</v>
      </c>
      <c r="X11" s="55">
        <v>12</v>
      </c>
      <c r="Y11" s="1"/>
      <c r="Z11" s="1"/>
      <c r="AA11" s="5">
        <v>321.27320400000008</v>
      </c>
      <c r="AB11" s="1">
        <v>15</v>
      </c>
      <c r="AC11" s="5">
        <v>2200</v>
      </c>
    </row>
    <row r="12" spans="1:29" ht="15.5" x14ac:dyDescent="0.35">
      <c r="A12" s="38" t="s">
        <v>29</v>
      </c>
      <c r="B12" s="39"/>
      <c r="C12" s="39" t="s">
        <v>36</v>
      </c>
      <c r="D12" s="39">
        <v>1</v>
      </c>
      <c r="E12" s="40" t="s">
        <v>36</v>
      </c>
      <c r="F12" s="41" t="s">
        <v>36</v>
      </c>
      <c r="G12" s="41" t="s">
        <v>36</v>
      </c>
      <c r="H12" s="42" t="s">
        <v>36</v>
      </c>
      <c r="I12" s="43"/>
      <c r="J12" s="44"/>
      <c r="K12" s="45" t="s">
        <v>36</v>
      </c>
      <c r="L12" s="47" t="s">
        <v>36</v>
      </c>
      <c r="M12" s="47" t="s">
        <v>36</v>
      </c>
      <c r="N12" s="48" t="s">
        <v>36</v>
      </c>
      <c r="O12" s="49"/>
      <c r="P12" s="49"/>
      <c r="Q12" s="50">
        <v>0</v>
      </c>
      <c r="R12" s="51" t="s">
        <v>36</v>
      </c>
      <c r="S12" s="52">
        <v>23.597754411538162</v>
      </c>
      <c r="T12" s="53">
        <v>0.98323976714742345</v>
      </c>
      <c r="U12" s="54" t="s">
        <v>36</v>
      </c>
      <c r="V12" s="54" t="s">
        <v>36</v>
      </c>
      <c r="W12" s="54" t="s">
        <v>36</v>
      </c>
      <c r="X12" s="55" t="s">
        <v>36</v>
      </c>
      <c r="Y12" s="1"/>
      <c r="Z12" s="1"/>
      <c r="AA12" s="5">
        <v>0</v>
      </c>
      <c r="AB12" s="56" t="e">
        <v>#REF!</v>
      </c>
      <c r="AC12" s="5">
        <v>0</v>
      </c>
    </row>
    <row r="13" spans="1:29" ht="15.5" x14ac:dyDescent="0.35">
      <c r="A13" s="38" t="s">
        <v>29</v>
      </c>
      <c r="B13" s="39"/>
      <c r="C13" s="39" t="s">
        <v>36</v>
      </c>
      <c r="D13" s="39">
        <v>1</v>
      </c>
      <c r="E13" s="40" t="s">
        <v>36</v>
      </c>
      <c r="F13" s="41" t="s">
        <v>36</v>
      </c>
      <c r="G13" s="41" t="s">
        <v>36</v>
      </c>
      <c r="H13" s="42" t="s">
        <v>36</v>
      </c>
      <c r="I13" s="43"/>
      <c r="J13" s="44"/>
      <c r="K13" s="45" t="s">
        <v>36</v>
      </c>
      <c r="L13" s="47" t="s">
        <v>36</v>
      </c>
      <c r="M13" s="47" t="s">
        <v>36</v>
      </c>
      <c r="N13" s="48" t="s">
        <v>36</v>
      </c>
      <c r="O13" s="49"/>
      <c r="P13" s="49"/>
      <c r="Q13" s="50">
        <v>0</v>
      </c>
      <c r="R13" s="51" t="s">
        <v>36</v>
      </c>
      <c r="S13" s="52" t="e">
        <v>#VALUE!</v>
      </c>
      <c r="T13" s="53" t="s">
        <v>36</v>
      </c>
      <c r="U13" s="54" t="s">
        <v>36</v>
      </c>
      <c r="V13" s="54" t="s">
        <v>36</v>
      </c>
      <c r="W13" s="54" t="s">
        <v>36</v>
      </c>
      <c r="X13" s="55" t="s">
        <v>36</v>
      </c>
      <c r="Y13" s="1"/>
      <c r="Z13" s="57"/>
      <c r="AA13" s="5">
        <v>0</v>
      </c>
      <c r="AB13" s="56" t="e">
        <v>#REF!</v>
      </c>
      <c r="AC13" s="5">
        <v>0</v>
      </c>
    </row>
    <row r="14" spans="1:29" ht="15.5" hidden="1" x14ac:dyDescent="0.35">
      <c r="A14" s="38" t="s">
        <v>29</v>
      </c>
      <c r="B14" s="39"/>
      <c r="C14" s="39" t="s">
        <v>36</v>
      </c>
      <c r="D14" s="39">
        <v>1</v>
      </c>
      <c r="E14" s="40" t="s">
        <v>36</v>
      </c>
      <c r="F14" s="41" t="s">
        <v>36</v>
      </c>
      <c r="G14" s="41" t="s">
        <v>36</v>
      </c>
      <c r="H14" s="42" t="s">
        <v>36</v>
      </c>
      <c r="I14" s="43"/>
      <c r="J14" s="44"/>
      <c r="K14" s="45" t="s">
        <v>36</v>
      </c>
      <c r="L14" s="47" t="s">
        <v>36</v>
      </c>
      <c r="M14" s="47" t="s">
        <v>36</v>
      </c>
      <c r="N14" s="48" t="s">
        <v>36</v>
      </c>
      <c r="O14" s="49"/>
      <c r="P14" s="58"/>
      <c r="Q14" s="50">
        <v>0</v>
      </c>
      <c r="R14" s="51" t="s">
        <v>36</v>
      </c>
      <c r="S14" s="52" t="e">
        <v>#VALUE!</v>
      </c>
      <c r="T14" s="53" t="s">
        <v>36</v>
      </c>
      <c r="U14" s="54" t="s">
        <v>36</v>
      </c>
      <c r="V14" s="54" t="s">
        <v>36</v>
      </c>
      <c r="W14" s="54" t="s">
        <v>36</v>
      </c>
      <c r="X14" s="55" t="s">
        <v>36</v>
      </c>
      <c r="Y14" s="1"/>
      <c r="Z14" s="57"/>
      <c r="AA14" s="5">
        <v>0</v>
      </c>
      <c r="AB14" s="56" t="e">
        <v>#REF!</v>
      </c>
      <c r="AC14" s="5">
        <v>0</v>
      </c>
    </row>
    <row r="15" spans="1:29" ht="15.5" hidden="1" x14ac:dyDescent="0.35">
      <c r="A15" s="38" t="s">
        <v>29</v>
      </c>
      <c r="B15" s="39"/>
      <c r="C15" s="39" t="s">
        <v>36</v>
      </c>
      <c r="D15" s="39">
        <v>1</v>
      </c>
      <c r="E15" s="40" t="s">
        <v>36</v>
      </c>
      <c r="F15" s="41" t="s">
        <v>36</v>
      </c>
      <c r="G15" s="41" t="s">
        <v>36</v>
      </c>
      <c r="H15" s="42" t="s">
        <v>36</v>
      </c>
      <c r="I15" s="43"/>
      <c r="J15" s="44"/>
      <c r="K15" s="45" t="s">
        <v>36</v>
      </c>
      <c r="L15" s="47" t="s">
        <v>36</v>
      </c>
      <c r="M15" s="47" t="s">
        <v>36</v>
      </c>
      <c r="N15" s="48" t="s">
        <v>36</v>
      </c>
      <c r="O15" s="49"/>
      <c r="P15" s="49"/>
      <c r="Q15" s="50">
        <v>0</v>
      </c>
      <c r="R15" s="51" t="s">
        <v>36</v>
      </c>
      <c r="S15" s="52" t="e">
        <v>#VALUE!</v>
      </c>
      <c r="T15" s="53" t="s">
        <v>36</v>
      </c>
      <c r="U15" s="54" t="s">
        <v>36</v>
      </c>
      <c r="V15" s="54" t="s">
        <v>36</v>
      </c>
      <c r="W15" s="54" t="s">
        <v>36</v>
      </c>
      <c r="X15" s="55" t="s">
        <v>36</v>
      </c>
      <c r="Y15" s="1"/>
      <c r="Z15" s="57"/>
      <c r="AA15" s="5">
        <v>0</v>
      </c>
      <c r="AB15" s="56" t="e">
        <v>#REF!</v>
      </c>
      <c r="AC15" s="5">
        <v>0</v>
      </c>
    </row>
    <row r="16" spans="1:29" ht="15.5" hidden="1" x14ac:dyDescent="0.35">
      <c r="A16" s="38" t="s">
        <v>29</v>
      </c>
      <c r="B16" s="39"/>
      <c r="C16" s="39" t="s">
        <v>36</v>
      </c>
      <c r="D16" s="39">
        <v>1</v>
      </c>
      <c r="E16" s="40" t="s">
        <v>36</v>
      </c>
      <c r="F16" s="41" t="s">
        <v>36</v>
      </c>
      <c r="G16" s="41" t="s">
        <v>36</v>
      </c>
      <c r="H16" s="42" t="s">
        <v>36</v>
      </c>
      <c r="I16" s="43"/>
      <c r="J16" s="44"/>
      <c r="K16" s="45" t="s">
        <v>36</v>
      </c>
      <c r="L16" s="47" t="s">
        <v>36</v>
      </c>
      <c r="M16" s="47" t="s">
        <v>36</v>
      </c>
      <c r="N16" s="48" t="s">
        <v>36</v>
      </c>
      <c r="O16" s="49"/>
      <c r="P16" s="49"/>
      <c r="Q16" s="50">
        <v>0</v>
      </c>
      <c r="R16" s="51" t="s">
        <v>36</v>
      </c>
      <c r="S16" s="52" t="e">
        <v>#VALUE!</v>
      </c>
      <c r="T16" s="53" t="s">
        <v>36</v>
      </c>
      <c r="U16" s="54" t="s">
        <v>36</v>
      </c>
      <c r="V16" s="54" t="s">
        <v>36</v>
      </c>
      <c r="W16" s="54" t="s">
        <v>36</v>
      </c>
      <c r="X16" s="55" t="s">
        <v>36</v>
      </c>
      <c r="Y16" s="1"/>
      <c r="Z16" s="57"/>
      <c r="AA16" s="5">
        <v>0</v>
      </c>
      <c r="AB16" s="56" t="e">
        <v>#REF!</v>
      </c>
      <c r="AC16" s="5">
        <v>0</v>
      </c>
    </row>
    <row r="17" spans="1:29" ht="15.5" hidden="1" x14ac:dyDescent="0.35">
      <c r="A17" s="38" t="s">
        <v>29</v>
      </c>
      <c r="B17" s="39"/>
      <c r="C17" s="39" t="s">
        <v>36</v>
      </c>
      <c r="D17" s="39">
        <v>1</v>
      </c>
      <c r="E17" s="40" t="s">
        <v>36</v>
      </c>
      <c r="F17" s="41" t="s">
        <v>36</v>
      </c>
      <c r="G17" s="41" t="s">
        <v>36</v>
      </c>
      <c r="H17" s="42" t="s">
        <v>36</v>
      </c>
      <c r="I17" s="43"/>
      <c r="J17" s="44"/>
      <c r="K17" s="45" t="s">
        <v>36</v>
      </c>
      <c r="L17" s="47" t="s">
        <v>36</v>
      </c>
      <c r="M17" s="47" t="s">
        <v>36</v>
      </c>
      <c r="N17" s="48" t="s">
        <v>36</v>
      </c>
      <c r="O17" s="49"/>
      <c r="P17" s="49"/>
      <c r="Q17" s="50">
        <v>0</v>
      </c>
      <c r="R17" s="51" t="s">
        <v>36</v>
      </c>
      <c r="S17" s="52" t="e">
        <v>#VALUE!</v>
      </c>
      <c r="T17" s="53" t="s">
        <v>36</v>
      </c>
      <c r="U17" s="54" t="s">
        <v>36</v>
      </c>
      <c r="V17" s="54" t="s">
        <v>36</v>
      </c>
      <c r="W17" s="54" t="s">
        <v>36</v>
      </c>
      <c r="X17" s="55" t="s">
        <v>36</v>
      </c>
      <c r="Y17" s="1"/>
      <c r="Z17" s="57"/>
      <c r="AA17" s="5">
        <v>0</v>
      </c>
      <c r="AB17" s="56" t="e">
        <v>#REF!</v>
      </c>
      <c r="AC17" s="5">
        <v>0</v>
      </c>
    </row>
    <row r="18" spans="1:29" ht="15.5" hidden="1" x14ac:dyDescent="0.35">
      <c r="A18" s="38" t="s">
        <v>29</v>
      </c>
      <c r="B18" s="38"/>
      <c r="C18" s="39" t="s">
        <v>36</v>
      </c>
      <c r="D18" s="39">
        <v>1</v>
      </c>
      <c r="E18" s="40" t="s">
        <v>36</v>
      </c>
      <c r="F18" s="41" t="s">
        <v>36</v>
      </c>
      <c r="G18" s="41" t="s">
        <v>36</v>
      </c>
      <c r="H18" s="42" t="s">
        <v>36</v>
      </c>
      <c r="I18" s="43"/>
      <c r="J18" s="44"/>
      <c r="K18" s="45" t="s">
        <v>36</v>
      </c>
      <c r="L18" s="47" t="s">
        <v>36</v>
      </c>
      <c r="M18" s="47" t="s">
        <v>36</v>
      </c>
      <c r="N18" s="48" t="s">
        <v>36</v>
      </c>
      <c r="O18" s="49"/>
      <c r="P18" s="49"/>
      <c r="Q18" s="50">
        <v>0</v>
      </c>
      <c r="R18" s="51" t="s">
        <v>36</v>
      </c>
      <c r="S18" s="52" t="e">
        <v>#VALUE!</v>
      </c>
      <c r="T18" s="53" t="s">
        <v>36</v>
      </c>
      <c r="U18" s="54" t="s">
        <v>36</v>
      </c>
      <c r="V18" s="54" t="s">
        <v>36</v>
      </c>
      <c r="W18" s="54" t="s">
        <v>36</v>
      </c>
      <c r="X18" s="55" t="s">
        <v>36</v>
      </c>
      <c r="Y18" s="1"/>
      <c r="Z18" s="57"/>
      <c r="AA18" s="5">
        <v>0</v>
      </c>
      <c r="AB18" s="56" t="e">
        <v>#REF!</v>
      </c>
      <c r="AC18" s="5">
        <v>0</v>
      </c>
    </row>
    <row r="19" spans="1:29" ht="15.5" hidden="1" x14ac:dyDescent="0.35">
      <c r="A19" s="38" t="s">
        <v>29</v>
      </c>
      <c r="B19" s="38"/>
      <c r="C19" s="39" t="s">
        <v>36</v>
      </c>
      <c r="D19" s="39">
        <v>1</v>
      </c>
      <c r="E19" s="40" t="s">
        <v>36</v>
      </c>
      <c r="F19" s="41" t="s">
        <v>36</v>
      </c>
      <c r="G19" s="41" t="s">
        <v>36</v>
      </c>
      <c r="H19" s="42" t="s">
        <v>36</v>
      </c>
      <c r="I19" s="43"/>
      <c r="J19" s="44"/>
      <c r="K19" s="45" t="s">
        <v>36</v>
      </c>
      <c r="L19" s="47" t="s">
        <v>36</v>
      </c>
      <c r="M19" s="47" t="s">
        <v>36</v>
      </c>
      <c r="N19" s="48" t="s">
        <v>36</v>
      </c>
      <c r="O19" s="49"/>
      <c r="P19" s="49"/>
      <c r="Q19" s="50">
        <v>0</v>
      </c>
      <c r="R19" s="51" t="s">
        <v>36</v>
      </c>
      <c r="S19" s="52" t="e">
        <v>#VALUE!</v>
      </c>
      <c r="T19" s="53" t="s">
        <v>36</v>
      </c>
      <c r="U19" s="54" t="s">
        <v>36</v>
      </c>
      <c r="V19" s="54" t="s">
        <v>36</v>
      </c>
      <c r="W19" s="54" t="s">
        <v>36</v>
      </c>
      <c r="X19" s="55" t="s">
        <v>36</v>
      </c>
      <c r="Y19" s="1"/>
      <c r="Z19" s="57"/>
      <c r="AA19" s="5">
        <v>0</v>
      </c>
      <c r="AB19" s="56" t="e">
        <v>#REF!</v>
      </c>
      <c r="AC19" s="5">
        <v>0</v>
      </c>
    </row>
    <row r="20" spans="1:29" ht="12" hidden="1" customHeight="1" x14ac:dyDescent="0.35">
      <c r="A20" s="38" t="s">
        <v>29</v>
      </c>
      <c r="B20" s="59"/>
      <c r="C20" s="39" t="s">
        <v>36</v>
      </c>
      <c r="D20" s="39">
        <v>1</v>
      </c>
      <c r="E20" s="40" t="s">
        <v>36</v>
      </c>
      <c r="F20" s="41" t="s">
        <v>36</v>
      </c>
      <c r="G20" s="41" t="s">
        <v>36</v>
      </c>
      <c r="H20" s="42" t="s">
        <v>36</v>
      </c>
      <c r="I20" s="43"/>
      <c r="J20" s="44"/>
      <c r="K20" s="45" t="s">
        <v>36</v>
      </c>
      <c r="L20" s="47" t="s">
        <v>36</v>
      </c>
      <c r="M20" s="47" t="s">
        <v>36</v>
      </c>
      <c r="N20" s="48" t="s">
        <v>36</v>
      </c>
      <c r="O20" s="49"/>
      <c r="P20" s="49"/>
      <c r="Q20" s="50">
        <v>0</v>
      </c>
      <c r="R20" s="51" t="s">
        <v>36</v>
      </c>
      <c r="S20" s="52" t="e">
        <v>#VALUE!</v>
      </c>
      <c r="T20" s="53" t="s">
        <v>36</v>
      </c>
      <c r="U20" s="54" t="s">
        <v>36</v>
      </c>
      <c r="V20" s="54" t="s">
        <v>36</v>
      </c>
      <c r="W20" s="54" t="s">
        <v>36</v>
      </c>
      <c r="X20" s="55" t="s">
        <v>36</v>
      </c>
      <c r="Y20" s="1"/>
      <c r="Z20" s="57"/>
      <c r="AA20" s="5">
        <v>0</v>
      </c>
      <c r="AB20" s="56" t="e">
        <v>#REF!</v>
      </c>
      <c r="AC20" s="5">
        <v>0</v>
      </c>
    </row>
    <row r="21" spans="1:29" ht="12" hidden="1" customHeight="1" x14ac:dyDescent="0.35">
      <c r="A21" s="38" t="s">
        <v>29</v>
      </c>
      <c r="B21" s="59"/>
      <c r="C21" s="39" t="s">
        <v>36</v>
      </c>
      <c r="D21" s="39">
        <v>1</v>
      </c>
      <c r="E21" s="40" t="s">
        <v>36</v>
      </c>
      <c r="F21" s="41" t="s">
        <v>36</v>
      </c>
      <c r="G21" s="41" t="s">
        <v>36</v>
      </c>
      <c r="H21" s="42" t="s">
        <v>36</v>
      </c>
      <c r="I21" s="43"/>
      <c r="J21" s="44"/>
      <c r="K21" s="45" t="s">
        <v>36</v>
      </c>
      <c r="L21" s="47" t="s">
        <v>36</v>
      </c>
      <c r="M21" s="47" t="s">
        <v>36</v>
      </c>
      <c r="N21" s="48" t="s">
        <v>36</v>
      </c>
      <c r="O21" s="49"/>
      <c r="P21" s="49"/>
      <c r="Q21" s="50">
        <v>0</v>
      </c>
      <c r="R21" s="51" t="s">
        <v>36</v>
      </c>
      <c r="S21" s="52" t="e">
        <v>#VALUE!</v>
      </c>
      <c r="T21" s="53" t="s">
        <v>36</v>
      </c>
      <c r="U21" s="54" t="s">
        <v>36</v>
      </c>
      <c r="V21" s="54" t="s">
        <v>36</v>
      </c>
      <c r="W21" s="54" t="s">
        <v>36</v>
      </c>
      <c r="X21" s="55" t="s">
        <v>36</v>
      </c>
      <c r="Y21" s="1"/>
      <c r="Z21" s="57"/>
      <c r="AA21" s="5">
        <v>0</v>
      </c>
      <c r="AB21" s="56" t="e">
        <v>#REF!</v>
      </c>
      <c r="AC21" s="5">
        <v>0</v>
      </c>
    </row>
    <row r="22" spans="1:29" ht="12" hidden="1" customHeight="1" x14ac:dyDescent="0.35">
      <c r="A22" s="38" t="s">
        <v>29</v>
      </c>
      <c r="B22" s="59"/>
      <c r="C22" s="39" t="s">
        <v>36</v>
      </c>
      <c r="D22" s="39">
        <v>1</v>
      </c>
      <c r="E22" s="40" t="s">
        <v>36</v>
      </c>
      <c r="F22" s="41" t="s">
        <v>36</v>
      </c>
      <c r="G22" s="41" t="s">
        <v>36</v>
      </c>
      <c r="H22" s="42" t="s">
        <v>36</v>
      </c>
      <c r="I22" s="43"/>
      <c r="J22" s="44"/>
      <c r="K22" s="45" t="s">
        <v>36</v>
      </c>
      <c r="L22" s="47" t="s">
        <v>36</v>
      </c>
      <c r="M22" s="47" t="s">
        <v>36</v>
      </c>
      <c r="N22" s="48" t="s">
        <v>36</v>
      </c>
      <c r="O22" s="49"/>
      <c r="P22" s="49"/>
      <c r="Q22" s="50">
        <v>0</v>
      </c>
      <c r="R22" s="51" t="s">
        <v>36</v>
      </c>
      <c r="S22" s="52" t="e">
        <v>#VALUE!</v>
      </c>
      <c r="T22" s="53" t="s">
        <v>36</v>
      </c>
      <c r="U22" s="54" t="s">
        <v>36</v>
      </c>
      <c r="V22" s="54" t="s">
        <v>36</v>
      </c>
      <c r="W22" s="54" t="s">
        <v>36</v>
      </c>
      <c r="X22" s="55" t="s">
        <v>36</v>
      </c>
      <c r="Y22" s="1"/>
      <c r="Z22" s="57"/>
      <c r="AA22" s="5">
        <v>0</v>
      </c>
      <c r="AB22" s="56" t="e">
        <v>#REF!</v>
      </c>
      <c r="AC22" s="5">
        <v>0</v>
      </c>
    </row>
    <row r="23" spans="1:29" ht="12" hidden="1" customHeight="1" x14ac:dyDescent="0.35">
      <c r="A23" s="38" t="s">
        <v>29</v>
      </c>
      <c r="B23" s="38"/>
      <c r="C23" s="39" t="s">
        <v>36</v>
      </c>
      <c r="D23" s="39">
        <v>1</v>
      </c>
      <c r="E23" s="40" t="s">
        <v>36</v>
      </c>
      <c r="F23" s="41" t="s">
        <v>36</v>
      </c>
      <c r="G23" s="41" t="s">
        <v>36</v>
      </c>
      <c r="H23" s="42" t="s">
        <v>36</v>
      </c>
      <c r="I23" s="43"/>
      <c r="J23" s="44"/>
      <c r="K23" s="45" t="s">
        <v>36</v>
      </c>
      <c r="L23" s="47" t="s">
        <v>36</v>
      </c>
      <c r="M23" s="47" t="s">
        <v>36</v>
      </c>
      <c r="N23" s="48" t="s">
        <v>36</v>
      </c>
      <c r="O23" s="49"/>
      <c r="P23" s="49"/>
      <c r="Q23" s="50">
        <v>0</v>
      </c>
      <c r="R23" s="51" t="s">
        <v>36</v>
      </c>
      <c r="S23" s="52" t="e">
        <v>#VALUE!</v>
      </c>
      <c r="T23" s="53" t="s">
        <v>36</v>
      </c>
      <c r="U23" s="54" t="s">
        <v>36</v>
      </c>
      <c r="V23" s="54" t="s">
        <v>36</v>
      </c>
      <c r="W23" s="54" t="s">
        <v>36</v>
      </c>
      <c r="X23" s="55" t="s">
        <v>36</v>
      </c>
      <c r="Y23" s="1"/>
      <c r="Z23" s="57"/>
      <c r="AA23" s="5">
        <v>0</v>
      </c>
      <c r="AB23" s="56" t="e">
        <v>#REF!</v>
      </c>
      <c r="AC23" s="5">
        <v>0</v>
      </c>
    </row>
    <row r="24" spans="1:29" ht="15.5" hidden="1" x14ac:dyDescent="0.35">
      <c r="A24" s="38" t="s">
        <v>29</v>
      </c>
      <c r="B24" s="38"/>
      <c r="C24" s="39" t="s">
        <v>36</v>
      </c>
      <c r="D24" s="39"/>
      <c r="E24" s="40" t="s">
        <v>36</v>
      </c>
      <c r="F24" s="41" t="s">
        <v>36</v>
      </c>
      <c r="G24" s="41" t="s">
        <v>36</v>
      </c>
      <c r="H24" s="42" t="s">
        <v>36</v>
      </c>
      <c r="I24" s="43"/>
      <c r="J24" s="44"/>
      <c r="K24" s="45" t="s">
        <v>36</v>
      </c>
      <c r="L24" s="47" t="s">
        <v>36</v>
      </c>
      <c r="M24" s="47" t="s">
        <v>36</v>
      </c>
      <c r="N24" s="48" t="s">
        <v>36</v>
      </c>
      <c r="O24" s="49"/>
      <c r="P24" s="49"/>
      <c r="Q24" s="50">
        <v>0</v>
      </c>
      <c r="R24" s="51" t="s">
        <v>36</v>
      </c>
      <c r="S24" s="52" t="e">
        <v>#VALUE!</v>
      </c>
      <c r="T24" s="53" t="s">
        <v>36</v>
      </c>
      <c r="U24" s="54" t="s">
        <v>36</v>
      </c>
      <c r="V24" s="54" t="s">
        <v>36</v>
      </c>
      <c r="W24" s="54" t="s">
        <v>36</v>
      </c>
      <c r="X24" s="55" t="s">
        <v>36</v>
      </c>
      <c r="Y24" s="1"/>
      <c r="Z24" s="57"/>
      <c r="AA24" s="5">
        <v>0</v>
      </c>
      <c r="AB24" s="56" t="e">
        <v>#REF!</v>
      </c>
      <c r="AC24" s="5">
        <v>0</v>
      </c>
    </row>
    <row r="25" spans="1:29" ht="15.5" x14ac:dyDescent="0.35">
      <c r="A25" s="38"/>
      <c r="B25" s="38"/>
      <c r="C25" s="39" t="s">
        <v>36</v>
      </c>
      <c r="D25" s="39"/>
      <c r="E25" s="40" t="s">
        <v>36</v>
      </c>
      <c r="F25" s="41" t="s">
        <v>36</v>
      </c>
      <c r="G25" s="41" t="s">
        <v>36</v>
      </c>
      <c r="H25" s="42" t="s">
        <v>36</v>
      </c>
      <c r="I25" s="43"/>
      <c r="J25" s="44"/>
      <c r="K25" s="45" t="s">
        <v>36</v>
      </c>
      <c r="L25" s="47" t="s">
        <v>36</v>
      </c>
      <c r="M25" s="47" t="s">
        <v>36</v>
      </c>
      <c r="N25" s="48" t="s">
        <v>36</v>
      </c>
      <c r="O25" s="49"/>
      <c r="P25" s="49"/>
      <c r="Q25" s="50">
        <v>0</v>
      </c>
      <c r="R25" s="51" t="s">
        <v>36</v>
      </c>
      <c r="S25" s="52" t="e">
        <v>#VALUE!</v>
      </c>
      <c r="T25" s="53" t="s">
        <v>36</v>
      </c>
      <c r="U25" s="54" t="s">
        <v>36</v>
      </c>
      <c r="V25" s="54" t="s">
        <v>36</v>
      </c>
      <c r="W25" s="54" t="s">
        <v>36</v>
      </c>
      <c r="X25" s="55" t="s">
        <v>36</v>
      </c>
      <c r="Y25" s="1"/>
      <c r="Z25" s="57"/>
      <c r="AA25" s="5">
        <v>0</v>
      </c>
      <c r="AB25" s="56" t="e">
        <v>#REF!</v>
      </c>
      <c r="AC25" s="5">
        <v>0</v>
      </c>
    </row>
    <row r="26" spans="1:29" ht="15.5" x14ac:dyDescent="0.35">
      <c r="A26" s="38"/>
      <c r="B26" s="38"/>
      <c r="C26" s="39" t="s">
        <v>36</v>
      </c>
      <c r="D26" s="39"/>
      <c r="E26" s="40" t="s">
        <v>36</v>
      </c>
      <c r="F26" s="41" t="s">
        <v>36</v>
      </c>
      <c r="G26" s="41" t="s">
        <v>36</v>
      </c>
      <c r="H26" s="42" t="s">
        <v>36</v>
      </c>
      <c r="I26" s="43"/>
      <c r="J26" s="60"/>
      <c r="K26" s="45" t="s">
        <v>36</v>
      </c>
      <c r="L26" s="47" t="s">
        <v>36</v>
      </c>
      <c r="M26" s="47" t="s">
        <v>36</v>
      </c>
      <c r="N26" s="48" t="s">
        <v>36</v>
      </c>
      <c r="O26" s="49"/>
      <c r="P26" s="49"/>
      <c r="Q26" s="50">
        <v>0</v>
      </c>
      <c r="R26" s="51" t="s">
        <v>36</v>
      </c>
      <c r="S26" s="52"/>
      <c r="T26" s="53"/>
      <c r="U26" s="54" t="s">
        <v>36</v>
      </c>
      <c r="V26" s="54" t="s">
        <v>36</v>
      </c>
      <c r="W26" s="54" t="s">
        <v>36</v>
      </c>
      <c r="X26" s="55" t="s">
        <v>36</v>
      </c>
      <c r="Y26" s="1"/>
      <c r="Z26" s="57"/>
      <c r="AA26" s="5">
        <v>0</v>
      </c>
      <c r="AB26" s="56" t="e">
        <v>#REF!</v>
      </c>
      <c r="AC26" s="5">
        <v>0</v>
      </c>
    </row>
    <row r="27" spans="1:29" ht="15.5" x14ac:dyDescent="0.35">
      <c r="A27" s="38" t="s">
        <v>30</v>
      </c>
      <c r="B27" s="39">
        <v>18125</v>
      </c>
      <c r="C27" s="39" t="s">
        <v>164</v>
      </c>
      <c r="D27" s="39">
        <v>2</v>
      </c>
      <c r="E27" s="40">
        <v>1901167</v>
      </c>
      <c r="F27" s="41">
        <v>4012689</v>
      </c>
      <c r="G27" s="41">
        <v>4013635</v>
      </c>
      <c r="H27" s="42" t="s">
        <v>165</v>
      </c>
      <c r="I27" s="43">
        <v>12164104</v>
      </c>
      <c r="J27" s="44"/>
      <c r="K27" s="45">
        <v>1814.2628686223306</v>
      </c>
      <c r="L27" s="47">
        <v>1619</v>
      </c>
      <c r="M27" s="47">
        <v>539.66666666666663</v>
      </c>
      <c r="N27" s="48">
        <v>1.05</v>
      </c>
      <c r="O27" s="49">
        <v>1700</v>
      </c>
      <c r="P27" s="49"/>
      <c r="Q27" s="50">
        <v>1700</v>
      </c>
      <c r="R27" s="51">
        <v>4.1251722866072642</v>
      </c>
      <c r="S27" s="61">
        <v>3</v>
      </c>
      <c r="T27" s="53">
        <v>0.125</v>
      </c>
      <c r="U27" s="54">
        <v>2</v>
      </c>
      <c r="V27" s="54">
        <v>418.92857142857139</v>
      </c>
      <c r="W27" s="54">
        <v>4027464</v>
      </c>
      <c r="X27" s="55">
        <v>3</v>
      </c>
      <c r="Y27" s="1"/>
      <c r="Z27" s="1"/>
      <c r="AA27" s="5">
        <v>412.10399999999998</v>
      </c>
      <c r="AB27" s="56">
        <v>0</v>
      </c>
      <c r="AC27" s="5">
        <v>0</v>
      </c>
    </row>
    <row r="28" spans="1:29" ht="15.5" x14ac:dyDescent="0.35">
      <c r="A28" s="38" t="s">
        <v>30</v>
      </c>
      <c r="B28" s="39">
        <v>41835</v>
      </c>
      <c r="C28" s="39" t="s">
        <v>162</v>
      </c>
      <c r="D28" s="39">
        <v>2</v>
      </c>
      <c r="E28" s="40">
        <v>1905643</v>
      </c>
      <c r="F28" s="41">
        <v>4043188</v>
      </c>
      <c r="G28" s="41">
        <v>4044028</v>
      </c>
      <c r="H28" s="42" t="s">
        <v>166</v>
      </c>
      <c r="I28" s="43">
        <v>12164105</v>
      </c>
      <c r="J28" s="44"/>
      <c r="K28" s="45">
        <v>615.05094382935147</v>
      </c>
      <c r="L28" s="47">
        <v>4583</v>
      </c>
      <c r="M28" s="47">
        <v>416.63636363636363</v>
      </c>
      <c r="N28" s="48">
        <v>0.12</v>
      </c>
      <c r="O28" s="62">
        <v>550</v>
      </c>
      <c r="P28" s="49"/>
      <c r="Q28" s="50">
        <v>550</v>
      </c>
      <c r="R28" s="51">
        <v>2.4229074889867843</v>
      </c>
      <c r="S28" s="61">
        <v>7.8751722866072642</v>
      </c>
      <c r="T28" s="53">
        <v>0.32813217860863603</v>
      </c>
      <c r="U28" s="54" t="e">
        <v>#N/A</v>
      </c>
      <c r="V28" s="54" t="e">
        <v>#N/A</v>
      </c>
      <c r="W28" s="54">
        <v>4045334</v>
      </c>
      <c r="X28" s="55">
        <v>11</v>
      </c>
      <c r="Y28" s="1"/>
      <c r="Z28" s="1"/>
      <c r="AA28" s="5">
        <v>226.99999999999997</v>
      </c>
      <c r="AB28" s="56" t="e">
        <v>#REF!</v>
      </c>
      <c r="AC28" s="5" t="e">
        <v>#REF!</v>
      </c>
    </row>
    <row r="29" spans="1:29" ht="15.5" x14ac:dyDescent="0.35">
      <c r="A29" s="38" t="s">
        <v>30</v>
      </c>
      <c r="B29" s="39">
        <v>41843</v>
      </c>
      <c r="C29" s="39" t="s">
        <v>162</v>
      </c>
      <c r="D29" s="39">
        <v>2</v>
      </c>
      <c r="E29" s="40">
        <v>1905643</v>
      </c>
      <c r="F29" s="41">
        <v>4043188</v>
      </c>
      <c r="G29" s="41">
        <v>4044028</v>
      </c>
      <c r="H29" s="42" t="s">
        <v>167</v>
      </c>
      <c r="I29" s="43">
        <v>12164106</v>
      </c>
      <c r="J29" s="44" t="s">
        <v>31</v>
      </c>
      <c r="K29" s="45">
        <v>277.35323069810818</v>
      </c>
      <c r="L29" s="47">
        <v>1136</v>
      </c>
      <c r="M29" s="47">
        <v>142</v>
      </c>
      <c r="N29" s="48">
        <v>0.22</v>
      </c>
      <c r="O29" s="62">
        <v>250</v>
      </c>
      <c r="P29" s="49"/>
      <c r="Q29" s="50">
        <v>250</v>
      </c>
      <c r="R29" s="51">
        <v>0.96525096525096521</v>
      </c>
      <c r="S29" s="61">
        <v>10.298079775594049</v>
      </c>
      <c r="T29" s="53">
        <v>0.42908665731641871</v>
      </c>
      <c r="U29" s="54" t="e">
        <v>#N/A</v>
      </c>
      <c r="V29" s="54" t="e">
        <v>#N/A</v>
      </c>
      <c r="W29" s="54">
        <v>4045334</v>
      </c>
      <c r="X29" s="55">
        <v>8</v>
      </c>
      <c r="Y29" s="1"/>
      <c r="Z29" s="1"/>
      <c r="AA29" s="5">
        <v>259</v>
      </c>
      <c r="AB29" s="56" t="e">
        <v>#REF!</v>
      </c>
      <c r="AC29" s="5">
        <v>250</v>
      </c>
    </row>
    <row r="30" spans="1:29" ht="13.5" customHeight="1" x14ac:dyDescent="0.35">
      <c r="A30" s="38" t="s">
        <v>30</v>
      </c>
      <c r="B30" s="39">
        <v>18354</v>
      </c>
      <c r="C30" s="39" t="s">
        <v>168</v>
      </c>
      <c r="D30" s="39">
        <v>2</v>
      </c>
      <c r="E30" s="40">
        <v>1901169</v>
      </c>
      <c r="F30" s="41">
        <v>4022166</v>
      </c>
      <c r="G30" s="41">
        <v>4013192</v>
      </c>
      <c r="H30" s="42" t="s">
        <v>169</v>
      </c>
      <c r="I30" s="43">
        <v>12164107</v>
      </c>
      <c r="J30" s="44" t="s">
        <v>31</v>
      </c>
      <c r="K30" s="45">
        <v>547.00547077454644</v>
      </c>
      <c r="L30" s="47">
        <v>5000</v>
      </c>
      <c r="M30" s="47">
        <v>357.14285714285717</v>
      </c>
      <c r="N30" s="48">
        <v>0.1</v>
      </c>
      <c r="O30" s="62">
        <v>500</v>
      </c>
      <c r="P30" s="49"/>
      <c r="Q30" s="50">
        <v>500</v>
      </c>
      <c r="R30" s="51">
        <v>2.4952864039828757</v>
      </c>
      <c r="S30" s="61">
        <v>11.263330740845014</v>
      </c>
      <c r="T30" s="53">
        <v>0.46930544753520892</v>
      </c>
      <c r="U30" s="54">
        <v>6</v>
      </c>
      <c r="V30" s="54">
        <v>431.24999999999994</v>
      </c>
      <c r="W30" s="54">
        <v>4022088</v>
      </c>
      <c r="X30" s="55">
        <v>14</v>
      </c>
      <c r="Y30" s="1"/>
      <c r="Z30" s="1"/>
      <c r="AA30" s="5">
        <v>200.37780000000006</v>
      </c>
      <c r="AB30" s="56" t="e">
        <v>#REF!</v>
      </c>
      <c r="AC30" s="5">
        <v>500</v>
      </c>
    </row>
    <row r="31" spans="1:29" ht="15.5" x14ac:dyDescent="0.35">
      <c r="A31" s="38" t="s">
        <v>30</v>
      </c>
      <c r="B31" s="63">
        <v>28667</v>
      </c>
      <c r="C31" s="39" t="s">
        <v>168</v>
      </c>
      <c r="D31" s="39">
        <v>2</v>
      </c>
      <c r="E31" s="40">
        <v>1901169</v>
      </c>
      <c r="F31" s="41">
        <v>4022166</v>
      </c>
      <c r="G31" s="41">
        <v>4013192</v>
      </c>
      <c r="H31" s="42" t="s">
        <v>170</v>
      </c>
      <c r="I31" s="43">
        <v>12164108</v>
      </c>
      <c r="J31" s="44"/>
      <c r="K31" s="45">
        <v>243.94052958161828</v>
      </c>
      <c r="L31" s="47">
        <v>2250</v>
      </c>
      <c r="M31" s="47">
        <v>160.71428571428572</v>
      </c>
      <c r="N31" s="48">
        <v>0.1</v>
      </c>
      <c r="O31" s="49">
        <v>225</v>
      </c>
      <c r="P31" s="49"/>
      <c r="Q31" s="50">
        <v>225</v>
      </c>
      <c r="R31" s="51">
        <v>1.4355012081178165</v>
      </c>
      <c r="S31" s="61">
        <v>13.758617144827889</v>
      </c>
      <c r="T31" s="53">
        <v>0.57327571436782876</v>
      </c>
      <c r="U31" s="54">
        <v>6</v>
      </c>
      <c r="V31" s="54">
        <v>194.06249999999997</v>
      </c>
      <c r="W31" s="54">
        <v>4022088</v>
      </c>
      <c r="X31" s="55">
        <v>14</v>
      </c>
      <c r="Y31" s="1"/>
      <c r="Z31" s="1"/>
      <c r="AA31" s="5">
        <v>156.73968000000002</v>
      </c>
      <c r="AB31" s="56" t="e">
        <v>#REF!</v>
      </c>
      <c r="AC31" s="5">
        <v>225</v>
      </c>
    </row>
    <row r="32" spans="1:29" ht="15.5" x14ac:dyDescent="0.35">
      <c r="A32" s="38" t="s">
        <v>30</v>
      </c>
      <c r="B32" s="63">
        <v>33523</v>
      </c>
      <c r="C32" s="39" t="s">
        <v>171</v>
      </c>
      <c r="D32" s="39">
        <v>2</v>
      </c>
      <c r="E32" s="40">
        <v>1901152</v>
      </c>
      <c r="F32" s="41">
        <v>4022166</v>
      </c>
      <c r="G32" s="41">
        <v>4013192</v>
      </c>
      <c r="H32" s="42" t="s">
        <v>172</v>
      </c>
      <c r="I32" s="43">
        <v>12164109</v>
      </c>
      <c r="J32" s="44"/>
      <c r="K32" s="45">
        <v>159.91471215351814</v>
      </c>
      <c r="L32" s="47">
        <v>1666</v>
      </c>
      <c r="M32" s="47">
        <v>138.83333333333334</v>
      </c>
      <c r="N32" s="48">
        <v>0.09</v>
      </c>
      <c r="O32" s="49">
        <v>150</v>
      </c>
      <c r="P32" s="49"/>
      <c r="Q32" s="50">
        <v>150</v>
      </c>
      <c r="R32" s="51">
        <v>0.91371263372184397</v>
      </c>
      <c r="S32" s="61">
        <v>16.694118352945708</v>
      </c>
      <c r="T32" s="53">
        <v>0.69558826470607116</v>
      </c>
      <c r="U32" s="54">
        <v>6</v>
      </c>
      <c r="V32" s="54">
        <v>143.75</v>
      </c>
      <c r="W32" s="54">
        <v>4022088</v>
      </c>
      <c r="X32" s="55">
        <v>12</v>
      </c>
      <c r="Y32" s="1"/>
      <c r="Z32" s="1"/>
      <c r="AA32" s="5">
        <v>164.16540000000001</v>
      </c>
      <c r="AB32" s="56" t="e">
        <v>#REF!</v>
      </c>
      <c r="AC32" s="5">
        <v>150</v>
      </c>
    </row>
    <row r="33" spans="1:29" ht="13.5" customHeight="1" x14ac:dyDescent="0.35">
      <c r="A33" s="38" t="s">
        <v>30</v>
      </c>
      <c r="B33" s="63">
        <v>41846</v>
      </c>
      <c r="C33" s="39" t="s">
        <v>162</v>
      </c>
      <c r="D33" s="39">
        <v>2</v>
      </c>
      <c r="E33" s="40">
        <v>1901414</v>
      </c>
      <c r="F33" s="41">
        <v>4046002</v>
      </c>
      <c r="G33" s="41">
        <v>4044028</v>
      </c>
      <c r="H33" s="42" t="s">
        <v>173</v>
      </c>
      <c r="I33" s="43">
        <v>12164110</v>
      </c>
      <c r="J33" s="44"/>
      <c r="K33" s="45">
        <v>483.89632376652696</v>
      </c>
      <c r="L33" s="47">
        <v>3750</v>
      </c>
      <c r="M33" s="47">
        <v>312.5</v>
      </c>
      <c r="N33" s="48">
        <v>0.12</v>
      </c>
      <c r="O33" s="49">
        <v>450</v>
      </c>
      <c r="P33" s="58"/>
      <c r="Q33" s="50">
        <v>450</v>
      </c>
      <c r="R33" s="51">
        <v>1.3609441686264265</v>
      </c>
      <c r="S33" s="61">
        <v>17.607830986667551</v>
      </c>
      <c r="T33" s="53">
        <v>0.7336596244444813</v>
      </c>
      <c r="U33" s="54" t="e">
        <v>#N/A</v>
      </c>
      <c r="V33" s="54" t="e">
        <v>#N/A</v>
      </c>
      <c r="W33" s="54">
        <v>4047926</v>
      </c>
      <c r="X33" s="55">
        <v>12</v>
      </c>
      <c r="Y33" s="1"/>
      <c r="Z33" s="1"/>
      <c r="AA33" s="5">
        <v>330.65279999999996</v>
      </c>
      <c r="AB33" s="56" t="e">
        <v>#REF!</v>
      </c>
      <c r="AC33" s="5">
        <v>450</v>
      </c>
    </row>
    <row r="34" spans="1:29" ht="13.5" customHeight="1" x14ac:dyDescent="0.35">
      <c r="A34" s="38" t="s">
        <v>30</v>
      </c>
      <c r="B34" s="63">
        <v>41845</v>
      </c>
      <c r="C34" s="39" t="s">
        <v>162</v>
      </c>
      <c r="D34" s="39">
        <v>2</v>
      </c>
      <c r="E34" s="40">
        <v>1907601</v>
      </c>
      <c r="F34" s="41">
        <v>4046002</v>
      </c>
      <c r="G34" s="41">
        <v>4044028</v>
      </c>
      <c r="H34" s="42" t="s">
        <v>174</v>
      </c>
      <c r="I34" s="43">
        <v>12164194</v>
      </c>
      <c r="J34" s="44"/>
      <c r="K34" s="45">
        <v>720.71912725113793</v>
      </c>
      <c r="L34" s="47">
        <v>5625</v>
      </c>
      <c r="M34" s="47">
        <v>468.75</v>
      </c>
      <c r="N34" s="48">
        <v>0.12</v>
      </c>
      <c r="O34" s="49">
        <v>675</v>
      </c>
      <c r="P34" s="49"/>
      <c r="Q34" s="50">
        <v>675</v>
      </c>
      <c r="R34" s="51">
        <v>3.4797401793999376</v>
      </c>
      <c r="S34" s="61">
        <v>18.968775155293976</v>
      </c>
      <c r="T34" s="53">
        <v>0.79036563147058236</v>
      </c>
      <c r="U34" s="54" t="e">
        <v>#N/A</v>
      </c>
      <c r="V34" s="54" t="e">
        <v>#N/A</v>
      </c>
      <c r="W34" s="54">
        <v>4047926</v>
      </c>
      <c r="X34" s="55">
        <v>12</v>
      </c>
      <c r="Y34" s="1"/>
      <c r="Z34" s="1"/>
      <c r="AA34" s="5">
        <v>193.98000000000002</v>
      </c>
      <c r="AB34" s="56" t="e">
        <v>#REF!</v>
      </c>
      <c r="AC34" s="5">
        <v>675</v>
      </c>
    </row>
    <row r="35" spans="1:29" ht="13.5" customHeight="1" x14ac:dyDescent="0.35">
      <c r="A35" s="38" t="s">
        <v>30</v>
      </c>
      <c r="B35" s="63"/>
      <c r="C35" s="39" t="s">
        <v>36</v>
      </c>
      <c r="D35" s="39">
        <v>2</v>
      </c>
      <c r="E35" s="40" t="s">
        <v>36</v>
      </c>
      <c r="F35" s="41" t="s">
        <v>36</v>
      </c>
      <c r="G35" s="41" t="s">
        <v>36</v>
      </c>
      <c r="H35" s="42" t="s">
        <v>36</v>
      </c>
      <c r="I35" s="43"/>
      <c r="J35" s="44"/>
      <c r="K35" s="45" t="s">
        <v>36</v>
      </c>
      <c r="L35" s="47" t="s">
        <v>36</v>
      </c>
      <c r="M35" s="47" t="s">
        <v>36</v>
      </c>
      <c r="N35" s="48" t="s">
        <v>36</v>
      </c>
      <c r="O35" s="49"/>
      <c r="P35" s="49"/>
      <c r="Q35" s="50">
        <v>0</v>
      </c>
      <c r="R35" s="51" t="s">
        <v>36</v>
      </c>
      <c r="S35" s="61">
        <v>23.52851533469391</v>
      </c>
      <c r="T35" s="53">
        <v>0.98035480561224631</v>
      </c>
      <c r="U35" s="54" t="s">
        <v>36</v>
      </c>
      <c r="V35" s="54" t="s">
        <v>36</v>
      </c>
      <c r="W35" s="54" t="s">
        <v>36</v>
      </c>
      <c r="X35" s="55" t="s">
        <v>36</v>
      </c>
      <c r="Y35" s="1"/>
      <c r="Z35" s="1"/>
      <c r="AA35" s="5">
        <v>0</v>
      </c>
      <c r="AB35" s="56" t="e">
        <v>#REF!</v>
      </c>
      <c r="AC35" s="5">
        <v>0</v>
      </c>
    </row>
    <row r="36" spans="1:29" ht="13.5" customHeight="1" x14ac:dyDescent="0.35">
      <c r="A36" s="38" t="s">
        <v>30</v>
      </c>
      <c r="B36" s="63"/>
      <c r="C36" s="39" t="s">
        <v>36</v>
      </c>
      <c r="D36" s="39">
        <v>2</v>
      </c>
      <c r="E36" s="40" t="s">
        <v>36</v>
      </c>
      <c r="F36" s="41" t="s">
        <v>36</v>
      </c>
      <c r="G36" s="41" t="s">
        <v>36</v>
      </c>
      <c r="H36" s="42" t="s">
        <v>36</v>
      </c>
      <c r="I36" s="43"/>
      <c r="J36" s="44"/>
      <c r="K36" s="45" t="s">
        <v>36</v>
      </c>
      <c r="L36" s="47" t="s">
        <v>36</v>
      </c>
      <c r="M36" s="47" t="s">
        <v>36</v>
      </c>
      <c r="N36" s="48" t="s">
        <v>36</v>
      </c>
      <c r="O36" s="49"/>
      <c r="P36" s="49"/>
      <c r="Q36" s="50">
        <v>0</v>
      </c>
      <c r="R36" s="51" t="s">
        <v>36</v>
      </c>
      <c r="S36" s="61" t="e">
        <v>#VALUE!</v>
      </c>
      <c r="T36" s="53" t="s">
        <v>36</v>
      </c>
      <c r="U36" s="54" t="s">
        <v>36</v>
      </c>
      <c r="V36" s="54" t="s">
        <v>36</v>
      </c>
      <c r="W36" s="54" t="s">
        <v>36</v>
      </c>
      <c r="X36" s="55" t="s">
        <v>36</v>
      </c>
      <c r="Y36" s="1"/>
      <c r="Z36" s="1"/>
      <c r="AA36" s="5">
        <v>0</v>
      </c>
      <c r="AB36" s="56" t="e">
        <v>#REF!</v>
      </c>
      <c r="AC36" s="5">
        <v>0</v>
      </c>
    </row>
    <row r="37" spans="1:29" ht="13.5" hidden="1" customHeight="1" x14ac:dyDescent="0.35">
      <c r="A37" s="38" t="s">
        <v>30</v>
      </c>
      <c r="B37" s="63"/>
      <c r="C37" s="39" t="s">
        <v>36</v>
      </c>
      <c r="D37" s="39">
        <v>2</v>
      </c>
      <c r="E37" s="40" t="s">
        <v>36</v>
      </c>
      <c r="F37" s="41" t="s">
        <v>36</v>
      </c>
      <c r="G37" s="41" t="s">
        <v>36</v>
      </c>
      <c r="H37" s="42" t="s">
        <v>36</v>
      </c>
      <c r="I37" s="43"/>
      <c r="J37" s="44"/>
      <c r="K37" s="45" t="s">
        <v>36</v>
      </c>
      <c r="L37" s="47" t="s">
        <v>36</v>
      </c>
      <c r="M37" s="47" t="s">
        <v>36</v>
      </c>
      <c r="N37" s="48" t="s">
        <v>36</v>
      </c>
      <c r="O37" s="49"/>
      <c r="P37" s="49"/>
      <c r="Q37" s="50">
        <v>0</v>
      </c>
      <c r="R37" s="51" t="s">
        <v>36</v>
      </c>
      <c r="S37" s="61" t="e">
        <v>#VALUE!</v>
      </c>
      <c r="T37" s="53" t="s">
        <v>36</v>
      </c>
      <c r="U37" s="54" t="s">
        <v>36</v>
      </c>
      <c r="V37" s="54" t="s">
        <v>36</v>
      </c>
      <c r="W37" s="54" t="s">
        <v>36</v>
      </c>
      <c r="X37" s="55" t="s">
        <v>36</v>
      </c>
      <c r="Y37" s="1"/>
      <c r="Z37" s="1"/>
      <c r="AA37" s="5">
        <v>0</v>
      </c>
      <c r="AB37" s="56" t="e">
        <v>#REF!</v>
      </c>
      <c r="AC37" s="5">
        <v>0</v>
      </c>
    </row>
    <row r="38" spans="1:29" ht="15.5" hidden="1" x14ac:dyDescent="0.35">
      <c r="A38" s="38" t="s">
        <v>30</v>
      </c>
      <c r="B38" s="63"/>
      <c r="C38" s="39" t="s">
        <v>36</v>
      </c>
      <c r="D38" s="39">
        <v>2</v>
      </c>
      <c r="E38" s="40" t="s">
        <v>36</v>
      </c>
      <c r="F38" s="41" t="s">
        <v>36</v>
      </c>
      <c r="G38" s="41" t="s">
        <v>36</v>
      </c>
      <c r="H38" s="42" t="s">
        <v>36</v>
      </c>
      <c r="I38" s="43"/>
      <c r="J38" s="44"/>
      <c r="K38" s="45" t="s">
        <v>36</v>
      </c>
      <c r="L38" s="47" t="s">
        <v>36</v>
      </c>
      <c r="M38" s="47" t="s">
        <v>36</v>
      </c>
      <c r="N38" s="48" t="s">
        <v>36</v>
      </c>
      <c r="O38" s="49"/>
      <c r="P38" s="49"/>
      <c r="Q38" s="50">
        <v>0</v>
      </c>
      <c r="R38" s="51" t="s">
        <v>36</v>
      </c>
      <c r="S38" s="61" t="e">
        <v>#VALUE!</v>
      </c>
      <c r="T38" s="53" t="s">
        <v>36</v>
      </c>
      <c r="U38" s="54" t="s">
        <v>36</v>
      </c>
      <c r="V38" s="54" t="s">
        <v>36</v>
      </c>
      <c r="W38" s="54" t="s">
        <v>36</v>
      </c>
      <c r="X38" s="55" t="s">
        <v>36</v>
      </c>
      <c r="Y38" s="1"/>
      <c r="Z38" s="1"/>
      <c r="AA38" s="5">
        <v>0</v>
      </c>
      <c r="AB38" s="56" t="e">
        <v>#REF!</v>
      </c>
      <c r="AC38" s="5">
        <v>0</v>
      </c>
    </row>
    <row r="39" spans="1:29" ht="11.25" customHeight="1" x14ac:dyDescent="0.35">
      <c r="A39" s="38"/>
      <c r="B39" s="63"/>
      <c r="C39" s="39" t="s">
        <v>36</v>
      </c>
      <c r="D39" s="39">
        <v>2</v>
      </c>
      <c r="E39" s="40" t="s">
        <v>36</v>
      </c>
      <c r="F39" s="41" t="s">
        <v>36</v>
      </c>
      <c r="G39" s="41" t="s">
        <v>36</v>
      </c>
      <c r="H39" s="42" t="s">
        <v>36</v>
      </c>
      <c r="I39" s="43"/>
      <c r="J39" s="44"/>
      <c r="K39" s="45" t="s">
        <v>36</v>
      </c>
      <c r="L39" s="47" t="s">
        <v>36</v>
      </c>
      <c r="M39" s="47" t="s">
        <v>36</v>
      </c>
      <c r="N39" s="48" t="s">
        <v>36</v>
      </c>
      <c r="O39" s="49"/>
      <c r="P39" s="49"/>
      <c r="Q39" s="50">
        <v>0</v>
      </c>
      <c r="R39" s="51" t="s">
        <v>36</v>
      </c>
      <c r="S39" s="61" t="e">
        <v>#VALUE!</v>
      </c>
      <c r="T39" s="53" t="s">
        <v>36</v>
      </c>
      <c r="U39" s="54" t="s">
        <v>36</v>
      </c>
      <c r="V39" s="54" t="s">
        <v>36</v>
      </c>
      <c r="W39" s="54" t="s">
        <v>36</v>
      </c>
      <c r="X39" s="55" t="s">
        <v>36</v>
      </c>
      <c r="Y39" s="1"/>
      <c r="Z39" s="1"/>
      <c r="AA39" s="5">
        <v>0</v>
      </c>
      <c r="AB39" s="56" t="e">
        <v>#REF!</v>
      </c>
      <c r="AC39" s="5">
        <v>0</v>
      </c>
    </row>
    <row r="40" spans="1:29" ht="15.5" x14ac:dyDescent="0.35">
      <c r="A40" s="38"/>
      <c r="B40" s="63"/>
      <c r="C40" s="39" t="s">
        <v>36</v>
      </c>
      <c r="D40" s="39"/>
      <c r="E40" s="40" t="s">
        <v>36</v>
      </c>
      <c r="F40" s="41" t="s">
        <v>36</v>
      </c>
      <c r="G40" s="41" t="s">
        <v>36</v>
      </c>
      <c r="H40" s="42" t="s">
        <v>36</v>
      </c>
      <c r="I40" s="43"/>
      <c r="J40" s="44"/>
      <c r="K40" s="45" t="s">
        <v>36</v>
      </c>
      <c r="L40" s="47" t="s">
        <v>36</v>
      </c>
      <c r="M40" s="47"/>
      <c r="N40" s="48" t="s">
        <v>36</v>
      </c>
      <c r="O40" s="49"/>
      <c r="P40" s="49"/>
      <c r="Q40" s="50">
        <v>0</v>
      </c>
      <c r="R40" s="51" t="s">
        <v>36</v>
      </c>
      <c r="S40" s="61"/>
      <c r="T40" s="53"/>
      <c r="U40" s="54" t="s">
        <v>36</v>
      </c>
      <c r="V40" s="54" t="s">
        <v>36</v>
      </c>
      <c r="W40" s="54" t="s">
        <v>36</v>
      </c>
      <c r="X40" s="55" t="s">
        <v>36</v>
      </c>
      <c r="Y40" s="1"/>
      <c r="Z40" s="1"/>
      <c r="AA40" s="5"/>
      <c r="AB40" s="56"/>
      <c r="AC40" s="5"/>
    </row>
    <row r="41" spans="1:29" ht="15.5" x14ac:dyDescent="0.35">
      <c r="A41" s="38"/>
      <c r="B41" s="39"/>
      <c r="C41" s="39" t="s">
        <v>36</v>
      </c>
      <c r="D41" s="39"/>
      <c r="E41" s="40" t="s">
        <v>36</v>
      </c>
      <c r="F41" s="41" t="s">
        <v>36</v>
      </c>
      <c r="G41" s="41" t="s">
        <v>36</v>
      </c>
      <c r="H41" s="42" t="s">
        <v>36</v>
      </c>
      <c r="I41" s="43"/>
      <c r="J41" s="44"/>
      <c r="K41" s="45" t="s">
        <v>36</v>
      </c>
      <c r="L41" s="47" t="s">
        <v>36</v>
      </c>
      <c r="M41" s="47" t="s">
        <v>36</v>
      </c>
      <c r="N41" s="48" t="s">
        <v>36</v>
      </c>
      <c r="O41" s="49"/>
      <c r="P41" s="49"/>
      <c r="Q41" s="50">
        <v>0</v>
      </c>
      <c r="R41" s="51" t="s">
        <v>36</v>
      </c>
      <c r="S41" s="61"/>
      <c r="T41" s="53"/>
      <c r="U41" s="54" t="s">
        <v>36</v>
      </c>
      <c r="V41" s="54" t="s">
        <v>36</v>
      </c>
      <c r="W41" s="54" t="s">
        <v>36</v>
      </c>
      <c r="X41" s="55" t="s">
        <v>36</v>
      </c>
      <c r="Y41" s="1"/>
      <c r="Z41" s="1"/>
      <c r="AA41" s="5">
        <v>0</v>
      </c>
      <c r="AB41" s="56"/>
      <c r="AC41" s="5"/>
    </row>
    <row r="42" spans="1:29" ht="15.5" x14ac:dyDescent="0.35">
      <c r="A42" s="38" t="s">
        <v>32</v>
      </c>
      <c r="B42" s="63">
        <v>22544</v>
      </c>
      <c r="C42" s="39" t="s">
        <v>162</v>
      </c>
      <c r="D42" s="39">
        <v>3</v>
      </c>
      <c r="E42" s="40">
        <v>1907134</v>
      </c>
      <c r="F42" s="41">
        <v>4017478</v>
      </c>
      <c r="G42" s="41">
        <v>4013192</v>
      </c>
      <c r="H42" s="42" t="s">
        <v>175</v>
      </c>
      <c r="I42" s="43">
        <v>12164111</v>
      </c>
      <c r="J42" s="44" t="s">
        <v>31</v>
      </c>
      <c r="K42" s="45">
        <v>450.43973449237188</v>
      </c>
      <c r="L42" s="47">
        <v>3654</v>
      </c>
      <c r="M42" s="47">
        <v>456.75</v>
      </c>
      <c r="N42" s="48">
        <v>0.11</v>
      </c>
      <c r="O42" s="62">
        <v>402</v>
      </c>
      <c r="P42" s="49"/>
      <c r="Q42" s="50">
        <v>402</v>
      </c>
      <c r="R42" s="51">
        <v>1.9851298564300759</v>
      </c>
      <c r="S42" s="61">
        <v>3</v>
      </c>
      <c r="T42" s="53">
        <v>0.125</v>
      </c>
      <c r="U42" s="54">
        <v>6</v>
      </c>
      <c r="V42" s="54">
        <v>315.20454545454538</v>
      </c>
      <c r="W42" s="54">
        <v>4022088</v>
      </c>
      <c r="X42" s="55">
        <v>8</v>
      </c>
      <c r="Y42" s="1"/>
      <c r="Z42" s="1"/>
      <c r="AA42" s="5">
        <v>202.50564399999996</v>
      </c>
      <c r="AB42" s="56"/>
      <c r="AC42" s="5"/>
    </row>
    <row r="43" spans="1:29" ht="15.5" x14ac:dyDescent="0.35">
      <c r="A43" s="38" t="s">
        <v>32</v>
      </c>
      <c r="B43" s="39">
        <v>24378</v>
      </c>
      <c r="C43" s="39" t="s">
        <v>176</v>
      </c>
      <c r="D43" s="39">
        <v>3</v>
      </c>
      <c r="E43" s="40">
        <v>1901678</v>
      </c>
      <c r="F43" s="41">
        <v>4017478</v>
      </c>
      <c r="G43" s="41">
        <v>4013192</v>
      </c>
      <c r="H43" s="42" t="s">
        <v>177</v>
      </c>
      <c r="I43" s="43">
        <v>12164112</v>
      </c>
      <c r="J43" s="44"/>
      <c r="K43" s="45">
        <v>627.04196129906416</v>
      </c>
      <c r="L43" s="47">
        <v>5272</v>
      </c>
      <c r="M43" s="47">
        <v>659</v>
      </c>
      <c r="N43" s="48">
        <v>0.11</v>
      </c>
      <c r="O43" s="62">
        <v>580</v>
      </c>
      <c r="P43" s="49"/>
      <c r="Q43" s="50">
        <v>580</v>
      </c>
      <c r="R43" s="51">
        <v>3.4160053751433548</v>
      </c>
      <c r="S43" s="61">
        <v>5.7351298564300759</v>
      </c>
      <c r="T43" s="53">
        <v>0.23896374401791984</v>
      </c>
      <c r="U43" s="54">
        <v>6</v>
      </c>
      <c r="V43" s="54">
        <v>454.7727272727272</v>
      </c>
      <c r="W43" s="54">
        <v>4022088</v>
      </c>
      <c r="X43" s="55">
        <v>8</v>
      </c>
      <c r="Y43" s="1"/>
      <c r="Z43" s="1"/>
      <c r="AA43" s="5">
        <v>169.78895999999997</v>
      </c>
      <c r="AB43" s="56"/>
      <c r="AC43" s="5"/>
    </row>
    <row r="44" spans="1:29" ht="12.75" customHeight="1" x14ac:dyDescent="0.35">
      <c r="A44" s="38" t="s">
        <v>32</v>
      </c>
      <c r="B44" s="63">
        <v>37046</v>
      </c>
      <c r="C44" s="39" t="s">
        <v>162</v>
      </c>
      <c r="D44" s="39">
        <v>3</v>
      </c>
      <c r="E44" s="40">
        <v>1901460</v>
      </c>
      <c r="F44" s="41">
        <v>4039385</v>
      </c>
      <c r="G44" s="41">
        <v>4013192</v>
      </c>
      <c r="H44" s="42" t="s">
        <v>178</v>
      </c>
      <c r="I44" s="43">
        <v>12164113</v>
      </c>
      <c r="J44" s="44"/>
      <c r="K44" s="45">
        <v>217.90635545556808</v>
      </c>
      <c r="L44" s="47">
        <v>1428</v>
      </c>
      <c r="M44" s="47">
        <v>178.5</v>
      </c>
      <c r="N44" s="48">
        <v>0.14000000000000001</v>
      </c>
      <c r="O44" s="62">
        <v>200</v>
      </c>
      <c r="P44" s="49"/>
      <c r="Q44" s="50">
        <v>200</v>
      </c>
      <c r="R44" s="51">
        <v>0.8969847865370405</v>
      </c>
      <c r="S44" s="61">
        <v>9.1511352315734307</v>
      </c>
      <c r="T44" s="53">
        <v>0.38129730131555961</v>
      </c>
      <c r="U44" s="54">
        <v>6</v>
      </c>
      <c r="V44" s="54">
        <v>123.21428571428568</v>
      </c>
      <c r="W44" s="54">
        <v>4022086</v>
      </c>
      <c r="X44" s="55">
        <v>8</v>
      </c>
      <c r="Y44" s="1"/>
      <c r="Z44" s="1"/>
      <c r="AA44" s="5">
        <v>222.969222</v>
      </c>
      <c r="AB44" s="56"/>
      <c r="AC44" s="5"/>
    </row>
    <row r="45" spans="1:29" ht="15.5" x14ac:dyDescent="0.35">
      <c r="A45" s="38" t="s">
        <v>32</v>
      </c>
      <c r="B45" s="39">
        <v>41839</v>
      </c>
      <c r="C45" s="39" t="s">
        <v>164</v>
      </c>
      <c r="D45" s="39">
        <v>3</v>
      </c>
      <c r="E45" s="40">
        <v>1905643</v>
      </c>
      <c r="F45" s="41">
        <v>4040832</v>
      </c>
      <c r="G45" s="41">
        <v>4044028</v>
      </c>
      <c r="H45" s="42" t="s">
        <v>179</v>
      </c>
      <c r="I45" s="43">
        <v>12164114</v>
      </c>
      <c r="J45" s="44" t="s">
        <v>31</v>
      </c>
      <c r="K45" s="45">
        <v>445.77117219828165</v>
      </c>
      <c r="L45" s="47">
        <v>1836</v>
      </c>
      <c r="M45" s="47">
        <v>306</v>
      </c>
      <c r="N45" s="48">
        <v>0.22</v>
      </c>
      <c r="O45" s="62">
        <v>404</v>
      </c>
      <c r="P45" s="49"/>
      <c r="Q45" s="50">
        <v>404</v>
      </c>
      <c r="R45" s="51">
        <v>1.1681435007618377</v>
      </c>
      <c r="S45" s="61">
        <v>10.04812001811047</v>
      </c>
      <c r="T45" s="53">
        <v>0.4186716674212696</v>
      </c>
      <c r="U45" s="54" t="e">
        <v>#N/A</v>
      </c>
      <c r="V45" s="54" t="e">
        <v>#N/A</v>
      </c>
      <c r="W45" s="54">
        <v>4045734</v>
      </c>
      <c r="X45" s="55">
        <v>6</v>
      </c>
      <c r="Y45" s="1"/>
      <c r="Z45" s="1"/>
      <c r="AA45" s="5">
        <v>345.84791999999999</v>
      </c>
      <c r="AB45" s="56"/>
      <c r="AC45" s="5"/>
    </row>
    <row r="46" spans="1:29" ht="15.5" x14ac:dyDescent="0.35">
      <c r="A46" s="38" t="s">
        <v>32</v>
      </c>
      <c r="B46" s="39">
        <v>41844</v>
      </c>
      <c r="C46" s="39" t="s">
        <v>164</v>
      </c>
      <c r="D46" s="39">
        <v>3</v>
      </c>
      <c r="E46" s="40">
        <v>1905643</v>
      </c>
      <c r="F46" s="41">
        <v>4040832</v>
      </c>
      <c r="G46" s="41">
        <v>4044028</v>
      </c>
      <c r="H46" s="42" t="s">
        <v>180</v>
      </c>
      <c r="I46" s="43">
        <v>12164115</v>
      </c>
      <c r="J46" s="44" t="s">
        <v>31</v>
      </c>
      <c r="K46" s="45">
        <v>991.43861951584643</v>
      </c>
      <c r="L46" s="47">
        <v>7500</v>
      </c>
      <c r="M46" s="47">
        <v>937.5</v>
      </c>
      <c r="N46" s="48">
        <v>0.12</v>
      </c>
      <c r="O46" s="62">
        <v>900</v>
      </c>
      <c r="P46" s="49"/>
      <c r="Q46" s="50">
        <v>900</v>
      </c>
      <c r="R46" s="51">
        <v>4.2782578933858133</v>
      </c>
      <c r="S46" s="61">
        <v>11.216263518872308</v>
      </c>
      <c r="T46" s="53">
        <v>0.46734431328634618</v>
      </c>
      <c r="U46" s="54" t="e">
        <v>#N/A</v>
      </c>
      <c r="V46" s="54" t="e">
        <v>#N/A</v>
      </c>
      <c r="W46" s="54">
        <v>4045734</v>
      </c>
      <c r="X46" s="55">
        <v>8</v>
      </c>
      <c r="Y46" s="1"/>
      <c r="Z46" s="1"/>
      <c r="AA46" s="5">
        <v>210.36599999999999</v>
      </c>
      <c r="AB46" s="56"/>
      <c r="AC46" s="5"/>
    </row>
    <row r="47" spans="1:29" ht="13.5" customHeight="1" x14ac:dyDescent="0.35">
      <c r="A47" s="38" t="s">
        <v>32</v>
      </c>
      <c r="B47" s="39">
        <v>26069</v>
      </c>
      <c r="C47" s="39" t="s">
        <v>162</v>
      </c>
      <c r="D47" s="39">
        <v>3</v>
      </c>
      <c r="E47" s="40">
        <v>1906010</v>
      </c>
      <c r="F47" s="41">
        <v>4017135</v>
      </c>
      <c r="G47" s="41">
        <v>4013192</v>
      </c>
      <c r="H47" s="42" t="s">
        <v>181</v>
      </c>
      <c r="I47" s="43">
        <v>12164176</v>
      </c>
      <c r="J47" s="44"/>
      <c r="K47" s="45">
        <v>591.27255524073507</v>
      </c>
      <c r="L47" s="47">
        <v>3928</v>
      </c>
      <c r="M47" s="47">
        <v>392.8</v>
      </c>
      <c r="N47" s="48">
        <v>0.14000000000000001</v>
      </c>
      <c r="O47" s="49">
        <v>550</v>
      </c>
      <c r="P47" s="49"/>
      <c r="Q47" s="50">
        <v>550</v>
      </c>
      <c r="R47" s="51">
        <v>1.8049451559210075</v>
      </c>
      <c r="S47" s="61">
        <v>16.244521412258123</v>
      </c>
      <c r="T47" s="53">
        <v>0.67685505884408848</v>
      </c>
      <c r="U47" s="54">
        <v>6</v>
      </c>
      <c r="V47" s="54">
        <v>338.83928571428567</v>
      </c>
      <c r="W47" s="54">
        <v>4047926</v>
      </c>
      <c r="X47" s="55">
        <v>10</v>
      </c>
      <c r="Y47" s="1"/>
      <c r="Z47" s="1"/>
      <c r="AA47" s="5">
        <v>304.71840000000003</v>
      </c>
      <c r="AB47" s="56"/>
      <c r="AC47" s="5"/>
    </row>
    <row r="48" spans="1:29" ht="13.5" customHeight="1" x14ac:dyDescent="0.35">
      <c r="A48" s="38" t="s">
        <v>32</v>
      </c>
      <c r="B48" s="39">
        <v>41431</v>
      </c>
      <c r="C48" s="39" t="s">
        <v>162</v>
      </c>
      <c r="D48" s="39">
        <v>3</v>
      </c>
      <c r="E48" s="40">
        <v>1901414</v>
      </c>
      <c r="F48" s="41">
        <v>4046002</v>
      </c>
      <c r="G48" s="41">
        <v>4044028</v>
      </c>
      <c r="H48" s="42" t="s">
        <v>182</v>
      </c>
      <c r="I48" s="43">
        <v>12164177</v>
      </c>
      <c r="J48" s="44"/>
      <c r="K48" s="45">
        <v>112.0181921058949</v>
      </c>
      <c r="L48" s="47">
        <v>500</v>
      </c>
      <c r="M48" s="47">
        <v>83.333333333333329</v>
      </c>
      <c r="N48" s="48">
        <v>0.2</v>
      </c>
      <c r="O48" s="62">
        <v>100</v>
      </c>
      <c r="P48" s="64"/>
      <c r="Q48" s="50">
        <v>100</v>
      </c>
      <c r="R48" s="51">
        <v>0.29161184364006237</v>
      </c>
      <c r="S48" s="61">
        <v>18.049466568179131</v>
      </c>
      <c r="T48" s="53">
        <v>0.75206110700746376</v>
      </c>
      <c r="U48" s="54" t="e">
        <v>#N/A</v>
      </c>
      <c r="V48" s="54" t="e">
        <v>#N/A</v>
      </c>
      <c r="W48" s="54">
        <v>4047926</v>
      </c>
      <c r="X48" s="55">
        <v>6</v>
      </c>
      <c r="Y48" s="1"/>
      <c r="Z48" s="1"/>
      <c r="AA48" s="5">
        <v>342.92159999999996</v>
      </c>
      <c r="AB48" s="56"/>
      <c r="AC48" s="5"/>
    </row>
    <row r="49" spans="1:29" ht="15.5" x14ac:dyDescent="0.35">
      <c r="A49" s="38" t="s">
        <v>32</v>
      </c>
      <c r="B49" s="65">
        <v>18430</v>
      </c>
      <c r="C49" s="39" t="s">
        <v>176</v>
      </c>
      <c r="D49" s="39">
        <v>3</v>
      </c>
      <c r="E49" s="40">
        <v>1907601</v>
      </c>
      <c r="F49" s="41">
        <v>4020045</v>
      </c>
      <c r="G49" s="41">
        <v>4013635</v>
      </c>
      <c r="H49" s="42" t="s">
        <v>183</v>
      </c>
      <c r="I49" s="43">
        <v>12164195</v>
      </c>
      <c r="J49" s="44"/>
      <c r="K49" s="45">
        <v>749.12002509235322</v>
      </c>
      <c r="L49" s="47">
        <v>5833</v>
      </c>
      <c r="M49" s="47">
        <v>729.125</v>
      </c>
      <c r="N49" s="48">
        <v>0.12</v>
      </c>
      <c r="O49" s="49">
        <v>700</v>
      </c>
      <c r="P49" s="49"/>
      <c r="Q49" s="50">
        <v>700</v>
      </c>
      <c r="R49" s="51">
        <v>3.8810336767271933</v>
      </c>
      <c r="S49" s="61">
        <v>19.091078411819193</v>
      </c>
      <c r="T49" s="53">
        <v>0.79546160049246639</v>
      </c>
      <c r="U49" s="54">
        <v>6</v>
      </c>
      <c r="V49" s="54">
        <v>503.125</v>
      </c>
      <c r="W49" s="54">
        <v>4047926</v>
      </c>
      <c r="X49" s="55">
        <v>8</v>
      </c>
      <c r="Y49" s="1"/>
      <c r="Z49" s="1"/>
      <c r="AA49" s="5">
        <v>180.36431999999999</v>
      </c>
      <c r="AB49" s="56"/>
      <c r="AC49" s="5"/>
    </row>
    <row r="50" spans="1:29" ht="15.5" x14ac:dyDescent="0.35">
      <c r="A50" s="38" t="s">
        <v>32</v>
      </c>
      <c r="B50" s="39"/>
      <c r="C50" s="39" t="s">
        <v>36</v>
      </c>
      <c r="D50" s="39">
        <v>3</v>
      </c>
      <c r="E50" s="40" t="s">
        <v>36</v>
      </c>
      <c r="F50" s="41" t="s">
        <v>36</v>
      </c>
      <c r="G50" s="41" t="s">
        <v>36</v>
      </c>
      <c r="H50" s="42" t="s">
        <v>36</v>
      </c>
      <c r="I50" s="43"/>
      <c r="J50" s="44"/>
      <c r="K50" s="45" t="s">
        <v>36</v>
      </c>
      <c r="L50" s="47" t="s">
        <v>36</v>
      </c>
      <c r="M50" s="47" t="s">
        <v>36</v>
      </c>
      <c r="N50" s="48" t="s">
        <v>36</v>
      </c>
      <c r="O50" s="62"/>
      <c r="P50" s="49"/>
      <c r="Q50" s="50">
        <v>0</v>
      </c>
      <c r="R50" s="51" t="s">
        <v>36</v>
      </c>
      <c r="S50" s="61">
        <v>23.472112088546385</v>
      </c>
      <c r="T50" s="53">
        <v>0.97800467035609939</v>
      </c>
      <c r="U50" s="54" t="s">
        <v>36</v>
      </c>
      <c r="V50" s="54" t="s">
        <v>36</v>
      </c>
      <c r="W50" s="54" t="s">
        <v>36</v>
      </c>
      <c r="X50" s="55" t="s">
        <v>36</v>
      </c>
      <c r="Y50" s="1"/>
      <c r="Z50" s="1"/>
      <c r="AA50" s="5">
        <v>0</v>
      </c>
      <c r="AB50" s="56"/>
      <c r="AC50" s="5"/>
    </row>
    <row r="51" spans="1:29" ht="15.5" x14ac:dyDescent="0.35">
      <c r="A51" s="38" t="s">
        <v>32</v>
      </c>
      <c r="B51" s="65"/>
      <c r="C51" s="39" t="s">
        <v>36</v>
      </c>
      <c r="D51" s="39">
        <v>3</v>
      </c>
      <c r="E51" s="40" t="s">
        <v>36</v>
      </c>
      <c r="F51" s="41" t="s">
        <v>36</v>
      </c>
      <c r="G51" s="41" t="s">
        <v>36</v>
      </c>
      <c r="H51" s="42" t="s">
        <v>36</v>
      </c>
      <c r="I51" s="43"/>
      <c r="J51" s="44"/>
      <c r="K51" s="45" t="s">
        <v>36</v>
      </c>
      <c r="L51" s="47" t="s">
        <v>36</v>
      </c>
      <c r="M51" s="47" t="s">
        <v>36</v>
      </c>
      <c r="N51" s="48" t="s">
        <v>36</v>
      </c>
      <c r="O51" s="49"/>
      <c r="P51" s="49"/>
      <c r="Q51" s="50">
        <v>0</v>
      </c>
      <c r="R51" s="51" t="s">
        <v>36</v>
      </c>
      <c r="S51" s="61" t="e">
        <v>#VALUE!</v>
      </c>
      <c r="T51" s="53" t="s">
        <v>36</v>
      </c>
      <c r="U51" s="54" t="s">
        <v>36</v>
      </c>
      <c r="V51" s="54" t="s">
        <v>36</v>
      </c>
      <c r="W51" s="54" t="s">
        <v>36</v>
      </c>
      <c r="X51" s="55" t="s">
        <v>36</v>
      </c>
      <c r="Y51" s="1"/>
      <c r="Z51" s="1"/>
      <c r="AA51" s="5">
        <v>0</v>
      </c>
      <c r="AB51" s="56"/>
      <c r="AC51" s="5"/>
    </row>
    <row r="52" spans="1:29" ht="15.5" hidden="1" x14ac:dyDescent="0.35">
      <c r="A52" s="38" t="s">
        <v>32</v>
      </c>
      <c r="B52" s="63"/>
      <c r="C52" s="39" t="s">
        <v>36</v>
      </c>
      <c r="D52" s="39">
        <v>3</v>
      </c>
      <c r="E52" s="40" t="s">
        <v>36</v>
      </c>
      <c r="F52" s="41" t="s">
        <v>36</v>
      </c>
      <c r="G52" s="41" t="s">
        <v>36</v>
      </c>
      <c r="H52" s="42" t="s">
        <v>36</v>
      </c>
      <c r="I52" s="43"/>
      <c r="J52" s="44"/>
      <c r="K52" s="45" t="s">
        <v>36</v>
      </c>
      <c r="L52" s="47" t="s">
        <v>36</v>
      </c>
      <c r="M52" s="47" t="s">
        <v>36</v>
      </c>
      <c r="N52" s="48" t="s">
        <v>36</v>
      </c>
      <c r="O52" s="49"/>
      <c r="P52" s="49"/>
      <c r="Q52" s="50">
        <v>0</v>
      </c>
      <c r="R52" s="51" t="s">
        <v>36</v>
      </c>
      <c r="S52" s="61" t="e">
        <v>#VALUE!</v>
      </c>
      <c r="T52" s="53" t="s">
        <v>36</v>
      </c>
      <c r="U52" s="54" t="s">
        <v>36</v>
      </c>
      <c r="V52" s="54" t="s">
        <v>36</v>
      </c>
      <c r="W52" s="54" t="s">
        <v>36</v>
      </c>
      <c r="X52" s="55" t="s">
        <v>36</v>
      </c>
      <c r="Y52" s="1"/>
      <c r="Z52" s="1"/>
      <c r="AA52" s="5">
        <v>0</v>
      </c>
      <c r="AB52" s="56"/>
      <c r="AC52" s="5"/>
    </row>
    <row r="53" spans="1:29" ht="14.25" hidden="1" customHeight="1" x14ac:dyDescent="0.35">
      <c r="A53" s="38" t="s">
        <v>32</v>
      </c>
      <c r="B53" s="63"/>
      <c r="C53" s="39" t="s">
        <v>36</v>
      </c>
      <c r="D53" s="39">
        <v>3</v>
      </c>
      <c r="E53" s="40" t="s">
        <v>36</v>
      </c>
      <c r="F53" s="41" t="s">
        <v>36</v>
      </c>
      <c r="G53" s="41" t="s">
        <v>36</v>
      </c>
      <c r="H53" s="42" t="s">
        <v>36</v>
      </c>
      <c r="I53" s="43"/>
      <c r="J53" s="44"/>
      <c r="K53" s="45" t="s">
        <v>36</v>
      </c>
      <c r="L53" s="47" t="s">
        <v>36</v>
      </c>
      <c r="M53" s="47" t="s">
        <v>36</v>
      </c>
      <c r="N53" s="48" t="s">
        <v>36</v>
      </c>
      <c r="O53" s="49"/>
      <c r="P53" s="49"/>
      <c r="Q53" s="50">
        <v>0</v>
      </c>
      <c r="R53" s="51" t="s">
        <v>36</v>
      </c>
      <c r="S53" s="61" t="e">
        <v>#VALUE!</v>
      </c>
      <c r="T53" s="53" t="s">
        <v>36</v>
      </c>
      <c r="U53" s="54" t="s">
        <v>36</v>
      </c>
      <c r="V53" s="54" t="s">
        <v>36</v>
      </c>
      <c r="W53" s="54" t="s">
        <v>36</v>
      </c>
      <c r="X53" s="55" t="s">
        <v>36</v>
      </c>
      <c r="Y53" s="1"/>
      <c r="Z53" s="1"/>
      <c r="AA53" s="5">
        <v>0</v>
      </c>
      <c r="AB53" s="56"/>
      <c r="AC53" s="5"/>
    </row>
    <row r="54" spans="1:29" ht="13.5" hidden="1" customHeight="1" x14ac:dyDescent="0.35">
      <c r="A54" s="38" t="s">
        <v>32</v>
      </c>
      <c r="B54" s="39"/>
      <c r="C54" s="39" t="s">
        <v>36</v>
      </c>
      <c r="D54" s="39">
        <v>3</v>
      </c>
      <c r="E54" s="40" t="s">
        <v>36</v>
      </c>
      <c r="F54" s="41" t="s">
        <v>36</v>
      </c>
      <c r="G54" s="41" t="s">
        <v>36</v>
      </c>
      <c r="H54" s="42" t="s">
        <v>36</v>
      </c>
      <c r="I54" s="43"/>
      <c r="J54" s="44"/>
      <c r="K54" s="45" t="s">
        <v>36</v>
      </c>
      <c r="L54" s="47" t="s">
        <v>36</v>
      </c>
      <c r="M54" s="47" t="s">
        <v>36</v>
      </c>
      <c r="N54" s="48" t="s">
        <v>36</v>
      </c>
      <c r="O54" s="49"/>
      <c r="P54" s="49"/>
      <c r="Q54" s="50">
        <v>0</v>
      </c>
      <c r="R54" s="51" t="s">
        <v>36</v>
      </c>
      <c r="S54" s="61" t="e">
        <v>#VALUE!</v>
      </c>
      <c r="T54" s="53" t="s">
        <v>36</v>
      </c>
      <c r="U54" s="54" t="s">
        <v>36</v>
      </c>
      <c r="V54" s="54" t="s">
        <v>36</v>
      </c>
      <c r="W54" s="54" t="s">
        <v>36</v>
      </c>
      <c r="X54" s="55" t="s">
        <v>36</v>
      </c>
      <c r="Y54" s="1"/>
      <c r="Z54" s="1"/>
      <c r="AA54" s="5">
        <v>0</v>
      </c>
      <c r="AB54" s="56"/>
      <c r="AC54" s="5"/>
    </row>
    <row r="55" spans="1:29" ht="15.5" x14ac:dyDescent="0.35">
      <c r="A55" s="38"/>
      <c r="B55" s="39"/>
      <c r="C55" s="39" t="s">
        <v>36</v>
      </c>
      <c r="D55" s="39"/>
      <c r="E55" s="40" t="s">
        <v>36</v>
      </c>
      <c r="F55" s="41" t="s">
        <v>36</v>
      </c>
      <c r="G55" s="41" t="s">
        <v>36</v>
      </c>
      <c r="H55" s="42" t="s">
        <v>36</v>
      </c>
      <c r="I55" s="43"/>
      <c r="J55" s="44"/>
      <c r="K55" s="45" t="s">
        <v>36</v>
      </c>
      <c r="L55" s="47" t="s">
        <v>36</v>
      </c>
      <c r="M55" s="47"/>
      <c r="N55" s="48" t="s">
        <v>36</v>
      </c>
      <c r="O55" s="49"/>
      <c r="P55" s="58"/>
      <c r="Q55" s="50">
        <v>0</v>
      </c>
      <c r="R55" s="51" t="s">
        <v>36</v>
      </c>
      <c r="S55" s="61"/>
      <c r="T55" s="53"/>
      <c r="U55" s="54" t="s">
        <v>36</v>
      </c>
      <c r="V55" s="54" t="s">
        <v>36</v>
      </c>
      <c r="W55" s="54" t="s">
        <v>36</v>
      </c>
      <c r="X55" s="55" t="s">
        <v>36</v>
      </c>
      <c r="Y55" s="1"/>
      <c r="Z55" s="1"/>
      <c r="AA55" s="5"/>
      <c r="AB55" s="56"/>
      <c r="AC55" s="5"/>
    </row>
    <row r="56" spans="1:29" ht="15.5" x14ac:dyDescent="0.35">
      <c r="A56" s="38"/>
      <c r="B56" s="39"/>
      <c r="C56" s="39" t="s">
        <v>36</v>
      </c>
      <c r="D56" s="39"/>
      <c r="E56" s="40" t="s">
        <v>36</v>
      </c>
      <c r="F56" s="41" t="s">
        <v>36</v>
      </c>
      <c r="G56" s="41" t="s">
        <v>36</v>
      </c>
      <c r="H56" s="42" t="s">
        <v>36</v>
      </c>
      <c r="I56" s="43"/>
      <c r="J56" s="44"/>
      <c r="K56" s="45" t="s">
        <v>36</v>
      </c>
      <c r="L56" s="47" t="s">
        <v>36</v>
      </c>
      <c r="M56" s="47"/>
      <c r="N56" s="48" t="s">
        <v>36</v>
      </c>
      <c r="O56" s="49"/>
      <c r="P56" s="49"/>
      <c r="Q56" s="50">
        <v>0</v>
      </c>
      <c r="R56" s="51" t="s">
        <v>36</v>
      </c>
      <c r="S56" s="61"/>
      <c r="T56" s="53"/>
      <c r="U56" s="54" t="s">
        <v>36</v>
      </c>
      <c r="V56" s="54" t="s">
        <v>36</v>
      </c>
      <c r="W56" s="54" t="s">
        <v>36</v>
      </c>
      <c r="X56" s="55" t="s">
        <v>36</v>
      </c>
      <c r="Y56" s="1"/>
      <c r="Z56" s="1"/>
      <c r="AA56" s="5"/>
      <c r="AB56" s="56"/>
      <c r="AC56" s="5"/>
    </row>
    <row r="57" spans="1:29" ht="15.5" x14ac:dyDescent="0.35">
      <c r="A57" s="38"/>
      <c r="B57" s="39"/>
      <c r="C57" s="39" t="s">
        <v>36</v>
      </c>
      <c r="D57" s="39"/>
      <c r="E57" s="40" t="s">
        <v>36</v>
      </c>
      <c r="F57" s="41" t="s">
        <v>36</v>
      </c>
      <c r="G57" s="41" t="s">
        <v>36</v>
      </c>
      <c r="H57" s="42" t="s">
        <v>36</v>
      </c>
      <c r="I57" s="43"/>
      <c r="J57" s="44"/>
      <c r="K57" s="45" t="s">
        <v>36</v>
      </c>
      <c r="L57" s="47" t="s">
        <v>36</v>
      </c>
      <c r="M57" s="47" t="s">
        <v>36</v>
      </c>
      <c r="N57" s="48" t="s">
        <v>36</v>
      </c>
      <c r="O57" s="49"/>
      <c r="P57" s="49"/>
      <c r="Q57" s="50">
        <v>0</v>
      </c>
      <c r="R57" s="51" t="s">
        <v>36</v>
      </c>
      <c r="S57" s="61"/>
      <c r="T57" s="53"/>
      <c r="U57" s="54" t="s">
        <v>36</v>
      </c>
      <c r="V57" s="54" t="s">
        <v>36</v>
      </c>
      <c r="W57" s="54" t="s">
        <v>36</v>
      </c>
      <c r="X57" s="55" t="s">
        <v>36</v>
      </c>
      <c r="Y57" s="1"/>
      <c r="Z57" s="1"/>
      <c r="AA57" s="5">
        <v>0</v>
      </c>
      <c r="AB57" s="56"/>
      <c r="AC57" s="5"/>
    </row>
    <row r="58" spans="1:29" ht="14.25" customHeight="1" x14ac:dyDescent="0.35">
      <c r="A58" s="38" t="s">
        <v>33</v>
      </c>
      <c r="B58" s="39">
        <v>41680</v>
      </c>
      <c r="C58" s="39" t="s">
        <v>162</v>
      </c>
      <c r="D58" s="39">
        <v>4</v>
      </c>
      <c r="E58" s="40">
        <v>1904349</v>
      </c>
      <c r="F58" s="41">
        <v>4033310</v>
      </c>
      <c r="G58" s="41">
        <v>4044028</v>
      </c>
      <c r="H58" s="42" t="s">
        <v>184</v>
      </c>
      <c r="I58" s="43">
        <v>12164178</v>
      </c>
      <c r="J58" s="44"/>
      <c r="K58" s="45">
        <v>2946.3262336287862</v>
      </c>
      <c r="L58" s="47">
        <v>13070</v>
      </c>
      <c r="M58" s="47">
        <v>1089.1666666666667</v>
      </c>
      <c r="N58" s="48">
        <v>0.2</v>
      </c>
      <c r="O58" s="49">
        <v>2614</v>
      </c>
      <c r="P58" s="49"/>
      <c r="Q58" s="50">
        <v>2614</v>
      </c>
      <c r="R58" s="51">
        <v>6.0790697674418608</v>
      </c>
      <c r="S58" s="61">
        <v>3</v>
      </c>
      <c r="T58" s="53">
        <v>0.125</v>
      </c>
      <c r="U58" s="54" t="e">
        <v>#N/A</v>
      </c>
      <c r="V58" s="54" t="e">
        <v>#N/A</v>
      </c>
      <c r="W58" s="54">
        <v>4037897</v>
      </c>
      <c r="X58" s="55">
        <v>12</v>
      </c>
      <c r="Y58" s="1"/>
      <c r="Z58" s="1"/>
      <c r="AA58" s="5">
        <v>430</v>
      </c>
      <c r="AB58" s="56">
        <v>7</v>
      </c>
      <c r="AC58" s="5">
        <v>3010</v>
      </c>
    </row>
    <row r="59" spans="1:29" ht="12.75" customHeight="1" x14ac:dyDescent="0.35">
      <c r="A59" s="38" t="s">
        <v>33</v>
      </c>
      <c r="B59" s="39">
        <v>33351</v>
      </c>
      <c r="C59" s="39" t="s">
        <v>176</v>
      </c>
      <c r="D59" s="39">
        <v>4</v>
      </c>
      <c r="E59" s="40">
        <v>1905278</v>
      </c>
      <c r="F59" s="41">
        <v>4033585</v>
      </c>
      <c r="G59" s="41">
        <v>4013192</v>
      </c>
      <c r="H59" s="42" t="s">
        <v>185</v>
      </c>
      <c r="I59" s="43">
        <v>12164179</v>
      </c>
      <c r="J59" s="44"/>
      <c r="K59" s="45">
        <v>3733.7451928406376</v>
      </c>
      <c r="L59" s="47">
        <v>17500</v>
      </c>
      <c r="M59" s="47">
        <v>833.33333333333337</v>
      </c>
      <c r="N59" s="48">
        <v>0.2</v>
      </c>
      <c r="O59" s="62">
        <v>3500</v>
      </c>
      <c r="P59" s="49"/>
      <c r="Q59" s="50">
        <v>3500</v>
      </c>
      <c r="R59" s="51">
        <v>5.6145889479222815</v>
      </c>
      <c r="S59" s="61">
        <v>9.5790697674418617</v>
      </c>
      <c r="T59" s="53">
        <v>0.39912790697674422</v>
      </c>
      <c r="U59" s="54">
        <v>6</v>
      </c>
      <c r="V59" s="54">
        <v>1509.3749999999998</v>
      </c>
      <c r="W59" s="54">
        <v>4037443</v>
      </c>
      <c r="X59" s="55">
        <v>21</v>
      </c>
      <c r="Y59" s="1"/>
      <c r="Z59" s="1"/>
      <c r="AA59" s="5">
        <v>623.37599999999998</v>
      </c>
      <c r="AB59" s="56"/>
      <c r="AC59" s="5"/>
    </row>
    <row r="60" spans="1:29" ht="12.75" customHeight="1" x14ac:dyDescent="0.35">
      <c r="A60" s="38" t="s">
        <v>33</v>
      </c>
      <c r="B60" s="63"/>
      <c r="C60" s="39" t="s">
        <v>36</v>
      </c>
      <c r="D60" s="39">
        <v>4</v>
      </c>
      <c r="E60" s="40" t="s">
        <v>36</v>
      </c>
      <c r="F60" s="41" t="s">
        <v>36</v>
      </c>
      <c r="G60" s="41" t="s">
        <v>36</v>
      </c>
      <c r="H60" s="42" t="s">
        <v>36</v>
      </c>
      <c r="I60" s="43"/>
      <c r="J60" s="44"/>
      <c r="K60" s="45" t="s">
        <v>36</v>
      </c>
      <c r="L60" s="47" t="s">
        <v>36</v>
      </c>
      <c r="M60" s="47" t="s">
        <v>36</v>
      </c>
      <c r="N60" s="48" t="s">
        <v>36</v>
      </c>
      <c r="O60" s="49"/>
      <c r="P60" s="49"/>
      <c r="Q60" s="50">
        <v>0</v>
      </c>
      <c r="R60" s="51" t="s">
        <v>36</v>
      </c>
      <c r="S60" s="61">
        <v>15.943658715364144</v>
      </c>
      <c r="T60" s="53">
        <v>0.66431911314017267</v>
      </c>
      <c r="U60" s="54" t="s">
        <v>36</v>
      </c>
      <c r="V60" s="54" t="s">
        <v>36</v>
      </c>
      <c r="W60" s="54" t="s">
        <v>36</v>
      </c>
      <c r="X60" s="55" t="s">
        <v>36</v>
      </c>
      <c r="Y60" s="1"/>
      <c r="Z60" s="1"/>
      <c r="AA60" s="5">
        <v>0</v>
      </c>
      <c r="AB60" s="56" t="e">
        <v>#REF!</v>
      </c>
      <c r="AC60" s="5">
        <v>0</v>
      </c>
    </row>
    <row r="61" spans="1:29" ht="12.75" hidden="1" customHeight="1" x14ac:dyDescent="0.35">
      <c r="A61" s="38" t="s">
        <v>33</v>
      </c>
      <c r="B61" s="63"/>
      <c r="C61" s="39" t="s">
        <v>36</v>
      </c>
      <c r="D61" s="39">
        <v>4</v>
      </c>
      <c r="E61" s="40" t="s">
        <v>36</v>
      </c>
      <c r="F61" s="41" t="s">
        <v>36</v>
      </c>
      <c r="G61" s="41" t="s">
        <v>36</v>
      </c>
      <c r="H61" s="42" t="s">
        <v>36</v>
      </c>
      <c r="I61" s="43"/>
      <c r="J61" s="44"/>
      <c r="K61" s="45" t="s">
        <v>36</v>
      </c>
      <c r="L61" s="47" t="s">
        <v>36</v>
      </c>
      <c r="M61" s="47" t="s">
        <v>36</v>
      </c>
      <c r="N61" s="48" t="s">
        <v>36</v>
      </c>
      <c r="O61" s="49"/>
      <c r="P61" s="49"/>
      <c r="Q61" s="50">
        <v>0</v>
      </c>
      <c r="R61" s="51" t="s">
        <v>36</v>
      </c>
      <c r="S61" s="61" t="e">
        <v>#VALUE!</v>
      </c>
      <c r="T61" s="53" t="s">
        <v>36</v>
      </c>
      <c r="U61" s="54" t="s">
        <v>36</v>
      </c>
      <c r="V61" s="54" t="s">
        <v>36</v>
      </c>
      <c r="W61" s="54" t="s">
        <v>36</v>
      </c>
      <c r="X61" s="55" t="s">
        <v>36</v>
      </c>
      <c r="Y61" s="1"/>
      <c r="Z61" s="1"/>
      <c r="AA61" s="5">
        <v>0</v>
      </c>
      <c r="AB61" s="56"/>
      <c r="AC61" s="5"/>
    </row>
    <row r="62" spans="1:29" ht="12.75" hidden="1" customHeight="1" x14ac:dyDescent="0.35">
      <c r="A62" s="38" t="s">
        <v>33</v>
      </c>
      <c r="B62" s="63"/>
      <c r="C62" s="39" t="s">
        <v>36</v>
      </c>
      <c r="D62" s="39">
        <v>4</v>
      </c>
      <c r="E62" s="40" t="s">
        <v>36</v>
      </c>
      <c r="F62" s="41" t="s">
        <v>36</v>
      </c>
      <c r="G62" s="41" t="s">
        <v>36</v>
      </c>
      <c r="H62" s="42" t="s">
        <v>36</v>
      </c>
      <c r="I62" s="43"/>
      <c r="J62" s="44"/>
      <c r="K62" s="45" t="s">
        <v>36</v>
      </c>
      <c r="L62" s="47" t="s">
        <v>36</v>
      </c>
      <c r="M62" s="47" t="s">
        <v>36</v>
      </c>
      <c r="N62" s="48" t="s">
        <v>36</v>
      </c>
      <c r="O62" s="49"/>
      <c r="P62" s="49"/>
      <c r="Q62" s="50">
        <v>0</v>
      </c>
      <c r="R62" s="51" t="s">
        <v>36</v>
      </c>
      <c r="S62" s="61" t="e">
        <v>#VALUE!</v>
      </c>
      <c r="T62" s="53" t="s">
        <v>36</v>
      </c>
      <c r="U62" s="54" t="s">
        <v>36</v>
      </c>
      <c r="V62" s="54" t="s">
        <v>36</v>
      </c>
      <c r="W62" s="54" t="s">
        <v>36</v>
      </c>
      <c r="X62" s="55" t="s">
        <v>36</v>
      </c>
      <c r="Y62" s="1"/>
      <c r="Z62" s="1"/>
      <c r="AA62" s="5">
        <v>0</v>
      </c>
      <c r="AB62" s="56"/>
      <c r="AC62" s="5"/>
    </row>
    <row r="63" spans="1:29" ht="12.75" customHeight="1" x14ac:dyDescent="0.35">
      <c r="A63" s="38"/>
      <c r="B63" s="63"/>
      <c r="C63" s="39" t="s">
        <v>36</v>
      </c>
      <c r="D63" s="39">
        <v>4</v>
      </c>
      <c r="E63" s="40" t="s">
        <v>36</v>
      </c>
      <c r="F63" s="41" t="s">
        <v>36</v>
      </c>
      <c r="G63" s="41" t="s">
        <v>36</v>
      </c>
      <c r="H63" s="42" t="s">
        <v>36</v>
      </c>
      <c r="I63" s="43"/>
      <c r="J63" s="44"/>
      <c r="K63" s="45" t="s">
        <v>36</v>
      </c>
      <c r="L63" s="47" t="s">
        <v>36</v>
      </c>
      <c r="M63" s="47" t="s">
        <v>36</v>
      </c>
      <c r="N63" s="48" t="s">
        <v>36</v>
      </c>
      <c r="O63" s="49"/>
      <c r="P63" s="58"/>
      <c r="Q63" s="50">
        <v>0</v>
      </c>
      <c r="R63" s="51" t="s">
        <v>36</v>
      </c>
      <c r="S63" s="61" t="e">
        <v>#VALUE!</v>
      </c>
      <c r="T63" s="53" t="s">
        <v>36</v>
      </c>
      <c r="U63" s="54" t="s">
        <v>36</v>
      </c>
      <c r="V63" s="54" t="s">
        <v>36</v>
      </c>
      <c r="W63" s="54" t="s">
        <v>36</v>
      </c>
      <c r="X63" s="55" t="s">
        <v>36</v>
      </c>
      <c r="Y63" s="1"/>
      <c r="Z63" s="1"/>
      <c r="AA63" s="5">
        <v>0</v>
      </c>
      <c r="AB63" s="56"/>
      <c r="AC63" s="5"/>
    </row>
    <row r="64" spans="1:29" ht="12.75" hidden="1" customHeight="1" x14ac:dyDescent="0.35">
      <c r="A64" s="38"/>
      <c r="B64" s="63"/>
      <c r="C64" s="39" t="s">
        <v>36</v>
      </c>
      <c r="D64" s="39">
        <v>4</v>
      </c>
      <c r="E64" s="40" t="s">
        <v>36</v>
      </c>
      <c r="F64" s="41" t="s">
        <v>36</v>
      </c>
      <c r="G64" s="41" t="s">
        <v>36</v>
      </c>
      <c r="H64" s="42" t="s">
        <v>36</v>
      </c>
      <c r="I64" s="43"/>
      <c r="J64" s="44"/>
      <c r="K64" s="45" t="s">
        <v>36</v>
      </c>
      <c r="L64" s="47" t="s">
        <v>36</v>
      </c>
      <c r="M64" s="47" t="s">
        <v>36</v>
      </c>
      <c r="N64" s="48" t="s">
        <v>36</v>
      </c>
      <c r="O64" s="49"/>
      <c r="P64" s="49"/>
      <c r="Q64" s="50">
        <v>0</v>
      </c>
      <c r="R64" s="51" t="s">
        <v>36</v>
      </c>
      <c r="S64" s="61" t="e">
        <v>#VALUE!</v>
      </c>
      <c r="T64" s="53" t="s">
        <v>36</v>
      </c>
      <c r="U64" s="54" t="s">
        <v>36</v>
      </c>
      <c r="V64" s="54" t="s">
        <v>36</v>
      </c>
      <c r="W64" s="54" t="s">
        <v>36</v>
      </c>
      <c r="X64" s="55" t="s">
        <v>36</v>
      </c>
      <c r="Y64" s="1"/>
      <c r="Z64" s="1"/>
      <c r="AA64" s="5">
        <v>0</v>
      </c>
      <c r="AB64" s="56"/>
      <c r="AC64" s="5"/>
    </row>
    <row r="65" spans="1:29" ht="12.75" hidden="1" customHeight="1" x14ac:dyDescent="0.35">
      <c r="A65" s="38"/>
      <c r="B65" s="63"/>
      <c r="C65" s="39" t="s">
        <v>36</v>
      </c>
      <c r="D65" s="39">
        <v>4</v>
      </c>
      <c r="E65" s="40" t="s">
        <v>36</v>
      </c>
      <c r="F65" s="41" t="s">
        <v>36</v>
      </c>
      <c r="G65" s="41" t="s">
        <v>36</v>
      </c>
      <c r="H65" s="42" t="s">
        <v>36</v>
      </c>
      <c r="I65" s="43"/>
      <c r="J65" s="44"/>
      <c r="K65" s="45" t="s">
        <v>36</v>
      </c>
      <c r="L65" s="47" t="s">
        <v>36</v>
      </c>
      <c r="M65" s="47" t="s">
        <v>36</v>
      </c>
      <c r="N65" s="48" t="s">
        <v>36</v>
      </c>
      <c r="O65" s="64"/>
      <c r="P65" s="49"/>
      <c r="Q65" s="50">
        <v>0</v>
      </c>
      <c r="R65" s="51" t="s">
        <v>36</v>
      </c>
      <c r="S65" s="61" t="e">
        <v>#VALUE!</v>
      </c>
      <c r="T65" s="53" t="s">
        <v>36</v>
      </c>
      <c r="U65" s="54" t="s">
        <v>36</v>
      </c>
      <c r="V65" s="54" t="s">
        <v>36</v>
      </c>
      <c r="W65" s="54" t="s">
        <v>36</v>
      </c>
      <c r="X65" s="55" t="s">
        <v>36</v>
      </c>
      <c r="Y65" s="1"/>
      <c r="Z65" s="1"/>
      <c r="AA65" s="5">
        <v>0</v>
      </c>
      <c r="AB65" s="56"/>
      <c r="AC65" s="5"/>
    </row>
    <row r="66" spans="1:29" ht="12.75" hidden="1" customHeight="1" x14ac:dyDescent="0.35">
      <c r="A66" s="38"/>
      <c r="B66" s="63"/>
      <c r="C66" s="39" t="s">
        <v>36</v>
      </c>
      <c r="D66" s="39">
        <v>4</v>
      </c>
      <c r="E66" s="40" t="s">
        <v>36</v>
      </c>
      <c r="F66" s="41" t="s">
        <v>36</v>
      </c>
      <c r="G66" s="41" t="s">
        <v>36</v>
      </c>
      <c r="H66" s="42" t="s">
        <v>36</v>
      </c>
      <c r="I66" s="43"/>
      <c r="J66" s="44"/>
      <c r="K66" s="45" t="s">
        <v>36</v>
      </c>
      <c r="L66" s="47" t="s">
        <v>36</v>
      </c>
      <c r="M66" s="47" t="s">
        <v>36</v>
      </c>
      <c r="N66" s="48" t="s">
        <v>36</v>
      </c>
      <c r="O66" s="64"/>
      <c r="P66" s="49"/>
      <c r="Q66" s="50">
        <v>0</v>
      </c>
      <c r="R66" s="51" t="s">
        <v>36</v>
      </c>
      <c r="S66" s="61" t="e">
        <v>#VALUE!</v>
      </c>
      <c r="T66" s="53" t="s">
        <v>36</v>
      </c>
      <c r="U66" s="54" t="s">
        <v>36</v>
      </c>
      <c r="V66" s="54" t="s">
        <v>36</v>
      </c>
      <c r="W66" s="54" t="s">
        <v>36</v>
      </c>
      <c r="X66" s="55" t="s">
        <v>36</v>
      </c>
      <c r="Y66" s="1"/>
      <c r="Z66" s="1"/>
      <c r="AA66" s="5">
        <v>0</v>
      </c>
      <c r="AB66" s="56"/>
      <c r="AC66" s="5"/>
    </row>
    <row r="67" spans="1:29" ht="12.75" hidden="1" customHeight="1" x14ac:dyDescent="0.35">
      <c r="A67" s="38"/>
      <c r="B67" s="63"/>
      <c r="C67" s="39" t="s">
        <v>36</v>
      </c>
      <c r="D67" s="39">
        <v>4</v>
      </c>
      <c r="E67" s="40" t="s">
        <v>36</v>
      </c>
      <c r="F67" s="41" t="s">
        <v>36</v>
      </c>
      <c r="G67" s="41" t="s">
        <v>36</v>
      </c>
      <c r="H67" s="42" t="s">
        <v>36</v>
      </c>
      <c r="I67" s="43"/>
      <c r="J67" s="44"/>
      <c r="K67" s="45" t="s">
        <v>36</v>
      </c>
      <c r="L67" s="47" t="s">
        <v>36</v>
      </c>
      <c r="M67" s="47" t="s">
        <v>36</v>
      </c>
      <c r="N67" s="48" t="s">
        <v>36</v>
      </c>
      <c r="O67" s="49"/>
      <c r="P67" s="49"/>
      <c r="Q67" s="50">
        <v>0</v>
      </c>
      <c r="R67" s="51" t="s">
        <v>36</v>
      </c>
      <c r="S67" s="61" t="e">
        <v>#VALUE!</v>
      </c>
      <c r="T67" s="53" t="s">
        <v>36</v>
      </c>
      <c r="U67" s="54" t="s">
        <v>36</v>
      </c>
      <c r="V67" s="54" t="s">
        <v>36</v>
      </c>
      <c r="W67" s="54" t="s">
        <v>36</v>
      </c>
      <c r="X67" s="55" t="s">
        <v>36</v>
      </c>
      <c r="Y67" s="1"/>
      <c r="Z67" s="1"/>
      <c r="AA67" s="5"/>
      <c r="AB67" s="56"/>
      <c r="AC67" s="5"/>
    </row>
    <row r="68" spans="1:29" ht="12.75" hidden="1" customHeight="1" x14ac:dyDescent="0.35">
      <c r="A68" s="38"/>
      <c r="B68" s="63"/>
      <c r="C68" s="39" t="s">
        <v>36</v>
      </c>
      <c r="D68" s="39">
        <v>4</v>
      </c>
      <c r="E68" s="40" t="s">
        <v>36</v>
      </c>
      <c r="F68" s="41" t="s">
        <v>36</v>
      </c>
      <c r="G68" s="41" t="s">
        <v>36</v>
      </c>
      <c r="H68" s="42" t="s">
        <v>36</v>
      </c>
      <c r="I68" s="43"/>
      <c r="J68" s="44"/>
      <c r="K68" s="45" t="s">
        <v>36</v>
      </c>
      <c r="L68" s="47" t="s">
        <v>36</v>
      </c>
      <c r="M68" s="47" t="s">
        <v>36</v>
      </c>
      <c r="N68" s="48" t="s">
        <v>36</v>
      </c>
      <c r="O68" s="49"/>
      <c r="P68" s="49"/>
      <c r="Q68" s="50">
        <v>0</v>
      </c>
      <c r="R68" s="51" t="s">
        <v>36</v>
      </c>
      <c r="S68" s="61" t="e">
        <v>#VALUE!</v>
      </c>
      <c r="T68" s="53" t="s">
        <v>36</v>
      </c>
      <c r="U68" s="54" t="s">
        <v>36</v>
      </c>
      <c r="V68" s="54" t="s">
        <v>36</v>
      </c>
      <c r="W68" s="54" t="s">
        <v>36</v>
      </c>
      <c r="X68" s="55" t="s">
        <v>36</v>
      </c>
      <c r="Y68" s="1"/>
      <c r="Z68" s="1"/>
      <c r="AA68" s="5"/>
      <c r="AB68" s="56"/>
      <c r="AC68" s="5"/>
    </row>
    <row r="69" spans="1:29" ht="12.75" hidden="1" customHeight="1" x14ac:dyDescent="0.35">
      <c r="A69" s="38"/>
      <c r="B69" s="63"/>
      <c r="C69" s="39" t="s">
        <v>36</v>
      </c>
      <c r="D69" s="39"/>
      <c r="E69" s="40" t="s">
        <v>36</v>
      </c>
      <c r="F69" s="41" t="s">
        <v>36</v>
      </c>
      <c r="G69" s="41" t="s">
        <v>36</v>
      </c>
      <c r="H69" s="42" t="s">
        <v>36</v>
      </c>
      <c r="I69" s="43"/>
      <c r="J69" s="44"/>
      <c r="K69" s="45" t="s">
        <v>36</v>
      </c>
      <c r="L69" s="47" t="s">
        <v>36</v>
      </c>
      <c r="M69" s="47"/>
      <c r="N69" s="48" t="s">
        <v>36</v>
      </c>
      <c r="O69" s="49"/>
      <c r="P69" s="49"/>
      <c r="Q69" s="50">
        <v>0</v>
      </c>
      <c r="R69" s="51" t="s">
        <v>36</v>
      </c>
      <c r="S69" s="61"/>
      <c r="T69" s="53"/>
      <c r="U69" s="54" t="s">
        <v>36</v>
      </c>
      <c r="V69" s="54" t="s">
        <v>36</v>
      </c>
      <c r="W69" s="54" t="s">
        <v>36</v>
      </c>
      <c r="X69" s="55" t="s">
        <v>36</v>
      </c>
      <c r="Y69" s="1"/>
      <c r="Z69" s="1"/>
      <c r="AA69" s="5"/>
      <c r="AB69" s="56"/>
      <c r="AC69" s="5"/>
    </row>
    <row r="70" spans="1:29" ht="12.75" customHeight="1" x14ac:dyDescent="0.35">
      <c r="A70" s="38"/>
      <c r="B70" s="63"/>
      <c r="C70" s="39" t="s">
        <v>36</v>
      </c>
      <c r="D70" s="39"/>
      <c r="E70" s="40" t="s">
        <v>36</v>
      </c>
      <c r="F70" s="41" t="s">
        <v>36</v>
      </c>
      <c r="G70" s="41" t="s">
        <v>36</v>
      </c>
      <c r="H70" s="42" t="s">
        <v>36</v>
      </c>
      <c r="I70" s="43"/>
      <c r="J70" s="44"/>
      <c r="K70" s="45" t="s">
        <v>36</v>
      </c>
      <c r="L70" s="47" t="s">
        <v>36</v>
      </c>
      <c r="M70" s="47"/>
      <c r="N70" s="48" t="s">
        <v>36</v>
      </c>
      <c r="O70" s="49"/>
      <c r="P70" s="49"/>
      <c r="Q70" s="50">
        <v>0</v>
      </c>
      <c r="R70" s="51" t="s">
        <v>36</v>
      </c>
      <c r="S70" s="61"/>
      <c r="T70" s="53"/>
      <c r="U70" s="54" t="s">
        <v>36</v>
      </c>
      <c r="V70" s="54" t="s">
        <v>36</v>
      </c>
      <c r="W70" s="54" t="s">
        <v>36</v>
      </c>
      <c r="X70" s="55" t="s">
        <v>36</v>
      </c>
      <c r="Y70" s="1"/>
      <c r="Z70" s="1"/>
      <c r="AA70" s="5"/>
      <c r="AB70" s="56"/>
      <c r="AC70" s="5"/>
    </row>
    <row r="71" spans="1:29" ht="12.75" customHeight="1" x14ac:dyDescent="0.35">
      <c r="A71" s="38"/>
      <c r="B71" s="63"/>
      <c r="C71" s="39" t="s">
        <v>36</v>
      </c>
      <c r="D71" s="39"/>
      <c r="E71" s="40" t="s">
        <v>36</v>
      </c>
      <c r="F71" s="41" t="s">
        <v>36</v>
      </c>
      <c r="G71" s="41" t="s">
        <v>36</v>
      </c>
      <c r="H71" s="42" t="s">
        <v>36</v>
      </c>
      <c r="I71" s="43"/>
      <c r="J71" s="44"/>
      <c r="K71" s="45" t="s">
        <v>36</v>
      </c>
      <c r="L71" s="47" t="s">
        <v>36</v>
      </c>
      <c r="M71" s="47" t="s">
        <v>36</v>
      </c>
      <c r="N71" s="48" t="s">
        <v>36</v>
      </c>
      <c r="O71" s="49"/>
      <c r="P71" s="49"/>
      <c r="Q71" s="50">
        <v>0</v>
      </c>
      <c r="R71" s="51" t="s">
        <v>36</v>
      </c>
      <c r="S71" s="61"/>
      <c r="T71" s="53"/>
      <c r="U71" s="54" t="s">
        <v>36</v>
      </c>
      <c r="V71" s="54" t="s">
        <v>36</v>
      </c>
      <c r="W71" s="54" t="s">
        <v>36</v>
      </c>
      <c r="X71" s="55" t="s">
        <v>36</v>
      </c>
      <c r="Y71" s="1"/>
      <c r="Z71" s="1"/>
      <c r="AA71" s="5"/>
      <c r="AB71" s="56"/>
      <c r="AC71" s="5"/>
    </row>
    <row r="72" spans="1:29" ht="15.5" x14ac:dyDescent="0.35">
      <c r="A72" s="38" t="s">
        <v>34</v>
      </c>
      <c r="B72" s="63"/>
      <c r="C72" s="39" t="s">
        <v>36</v>
      </c>
      <c r="D72" s="39">
        <v>5</v>
      </c>
      <c r="E72" s="40" t="s">
        <v>36</v>
      </c>
      <c r="F72" s="41" t="s">
        <v>36</v>
      </c>
      <c r="G72" s="41" t="s">
        <v>36</v>
      </c>
      <c r="H72" s="42" t="s">
        <v>36</v>
      </c>
      <c r="I72" s="43"/>
      <c r="J72" s="44"/>
      <c r="K72" s="45" t="s">
        <v>36</v>
      </c>
      <c r="L72" s="47" t="s">
        <v>36</v>
      </c>
      <c r="M72" s="47" t="s">
        <v>36</v>
      </c>
      <c r="N72" s="48" t="s">
        <v>36</v>
      </c>
      <c r="O72" s="49"/>
      <c r="P72" s="49"/>
      <c r="Q72" s="50">
        <v>0</v>
      </c>
      <c r="R72" s="51" t="s">
        <v>36</v>
      </c>
      <c r="S72" s="61">
        <v>8</v>
      </c>
      <c r="T72" s="53">
        <v>0.33333333333333331</v>
      </c>
      <c r="U72" s="54" t="s">
        <v>36</v>
      </c>
      <c r="V72" s="54" t="s">
        <v>36</v>
      </c>
      <c r="W72" s="54" t="s">
        <v>36</v>
      </c>
      <c r="X72" s="55" t="s">
        <v>36</v>
      </c>
      <c r="Y72" s="1"/>
      <c r="Z72" s="1"/>
      <c r="AA72" s="5">
        <v>0</v>
      </c>
      <c r="AB72" s="56" t="e">
        <v>#VALUE!</v>
      </c>
      <c r="AC72" s="5">
        <v>0</v>
      </c>
    </row>
    <row r="73" spans="1:29" ht="13.5" customHeight="1" x14ac:dyDescent="0.35">
      <c r="A73" s="38" t="s">
        <v>34</v>
      </c>
      <c r="B73" s="63"/>
      <c r="C73" s="39" t="s">
        <v>36</v>
      </c>
      <c r="D73" s="39">
        <v>5</v>
      </c>
      <c r="E73" s="40" t="s">
        <v>36</v>
      </c>
      <c r="F73" s="41" t="s">
        <v>36</v>
      </c>
      <c r="G73" s="41" t="s">
        <v>36</v>
      </c>
      <c r="H73" s="42" t="s">
        <v>36</v>
      </c>
      <c r="I73" s="43"/>
      <c r="J73" s="44"/>
      <c r="K73" s="45" t="s">
        <v>36</v>
      </c>
      <c r="L73" s="47" t="s">
        <v>36</v>
      </c>
      <c r="M73" s="47" t="s">
        <v>36</v>
      </c>
      <c r="N73" s="48" t="s">
        <v>36</v>
      </c>
      <c r="O73" s="49"/>
      <c r="P73" s="49"/>
      <c r="Q73" s="50">
        <v>0</v>
      </c>
      <c r="R73" s="51" t="s">
        <v>36</v>
      </c>
      <c r="S73" s="61" t="e">
        <v>#VALUE!</v>
      </c>
      <c r="T73" s="53" t="s">
        <v>36</v>
      </c>
      <c r="U73" s="54" t="s">
        <v>36</v>
      </c>
      <c r="V73" s="54" t="s">
        <v>36</v>
      </c>
      <c r="W73" s="54" t="s">
        <v>36</v>
      </c>
      <c r="X73" s="55" t="s">
        <v>36</v>
      </c>
      <c r="Y73" s="1"/>
      <c r="Z73" s="1"/>
      <c r="AA73" s="5">
        <v>0</v>
      </c>
      <c r="AB73" s="56" t="e">
        <v>#REF!</v>
      </c>
      <c r="AC73" s="5">
        <v>0</v>
      </c>
    </row>
    <row r="74" spans="1:29" ht="15.5" x14ac:dyDescent="0.35">
      <c r="A74" s="38" t="s">
        <v>34</v>
      </c>
      <c r="B74" s="63"/>
      <c r="C74" s="39" t="s">
        <v>36</v>
      </c>
      <c r="D74" s="39">
        <v>5</v>
      </c>
      <c r="E74" s="40" t="s">
        <v>36</v>
      </c>
      <c r="F74" s="41" t="s">
        <v>36</v>
      </c>
      <c r="G74" s="41" t="s">
        <v>36</v>
      </c>
      <c r="H74" s="42" t="s">
        <v>36</v>
      </c>
      <c r="I74" s="43"/>
      <c r="J74" s="44"/>
      <c r="K74" s="45" t="s">
        <v>36</v>
      </c>
      <c r="L74" s="47" t="s">
        <v>36</v>
      </c>
      <c r="M74" s="47" t="s">
        <v>36</v>
      </c>
      <c r="N74" s="48" t="s">
        <v>36</v>
      </c>
      <c r="O74" s="49"/>
      <c r="P74" s="49"/>
      <c r="Q74" s="50">
        <v>0</v>
      </c>
      <c r="R74" s="51" t="s">
        <v>36</v>
      </c>
      <c r="S74" s="61" t="e">
        <v>#VALUE!</v>
      </c>
      <c r="T74" s="53" t="s">
        <v>36</v>
      </c>
      <c r="U74" s="54" t="s">
        <v>36</v>
      </c>
      <c r="V74" s="54" t="s">
        <v>36</v>
      </c>
      <c r="W74" s="54" t="s">
        <v>36</v>
      </c>
      <c r="X74" s="55" t="s">
        <v>36</v>
      </c>
      <c r="Y74" s="1"/>
      <c r="Z74" s="1"/>
      <c r="AA74" s="5">
        <v>0</v>
      </c>
      <c r="AB74" s="56" t="e">
        <v>#REF!</v>
      </c>
      <c r="AC74" s="5">
        <v>0</v>
      </c>
    </row>
    <row r="75" spans="1:29" ht="15.5" hidden="1" x14ac:dyDescent="0.35">
      <c r="A75" s="38" t="s">
        <v>34</v>
      </c>
      <c r="B75" s="63"/>
      <c r="C75" s="39" t="s">
        <v>36</v>
      </c>
      <c r="D75" s="39">
        <v>5</v>
      </c>
      <c r="E75" s="40" t="s">
        <v>36</v>
      </c>
      <c r="F75" s="41" t="s">
        <v>36</v>
      </c>
      <c r="G75" s="41" t="s">
        <v>36</v>
      </c>
      <c r="H75" s="42" t="s">
        <v>36</v>
      </c>
      <c r="I75" s="43"/>
      <c r="J75" s="44"/>
      <c r="K75" s="45" t="s">
        <v>36</v>
      </c>
      <c r="L75" s="47" t="s">
        <v>36</v>
      </c>
      <c r="M75" s="47" t="s">
        <v>36</v>
      </c>
      <c r="N75" s="48" t="s">
        <v>36</v>
      </c>
      <c r="O75" s="49"/>
      <c r="P75" s="49"/>
      <c r="Q75" s="50">
        <v>0</v>
      </c>
      <c r="R75" s="51" t="s">
        <v>36</v>
      </c>
      <c r="S75" s="61" t="e">
        <v>#VALUE!</v>
      </c>
      <c r="T75" s="53" t="s">
        <v>36</v>
      </c>
      <c r="U75" s="54" t="s">
        <v>36</v>
      </c>
      <c r="V75" s="54" t="s">
        <v>36</v>
      </c>
      <c r="W75" s="54" t="s">
        <v>36</v>
      </c>
      <c r="X75" s="55" t="s">
        <v>36</v>
      </c>
      <c r="Y75" s="1"/>
      <c r="Z75" s="1"/>
      <c r="AA75" s="5">
        <v>0</v>
      </c>
      <c r="AB75" s="56" t="e">
        <v>#REF!</v>
      </c>
      <c r="AC75" s="5">
        <v>0</v>
      </c>
    </row>
    <row r="76" spans="1:29" ht="15.5" hidden="1" x14ac:dyDescent="0.35">
      <c r="A76" s="38" t="s">
        <v>34</v>
      </c>
      <c r="B76" s="63"/>
      <c r="C76" s="39" t="s">
        <v>36</v>
      </c>
      <c r="D76" s="39">
        <v>5</v>
      </c>
      <c r="E76" s="40" t="s">
        <v>36</v>
      </c>
      <c r="F76" s="41" t="s">
        <v>36</v>
      </c>
      <c r="G76" s="41" t="s">
        <v>36</v>
      </c>
      <c r="H76" s="42" t="s">
        <v>36</v>
      </c>
      <c r="I76" s="43"/>
      <c r="J76" s="44"/>
      <c r="K76" s="45" t="s">
        <v>36</v>
      </c>
      <c r="L76" s="47" t="s">
        <v>36</v>
      </c>
      <c r="M76" s="47" t="s">
        <v>36</v>
      </c>
      <c r="N76" s="48" t="s">
        <v>36</v>
      </c>
      <c r="O76" s="62"/>
      <c r="P76" s="64"/>
      <c r="Q76" s="50">
        <v>0</v>
      </c>
      <c r="R76" s="51" t="s">
        <v>36</v>
      </c>
      <c r="S76" s="61" t="e">
        <v>#VALUE!</v>
      </c>
      <c r="T76" s="53" t="s">
        <v>36</v>
      </c>
      <c r="U76" s="54" t="s">
        <v>36</v>
      </c>
      <c r="V76" s="54" t="s">
        <v>36</v>
      </c>
      <c r="W76" s="54" t="s">
        <v>36</v>
      </c>
      <c r="X76" s="55" t="s">
        <v>36</v>
      </c>
      <c r="Y76" s="1"/>
      <c r="Z76" s="1"/>
      <c r="AA76" s="5">
        <v>0</v>
      </c>
      <c r="AB76" s="56" t="e">
        <v>#REF!</v>
      </c>
      <c r="AC76" s="5">
        <v>0</v>
      </c>
    </row>
    <row r="77" spans="1:29" ht="15.5" hidden="1" x14ac:dyDescent="0.35">
      <c r="A77" s="38" t="s">
        <v>34</v>
      </c>
      <c r="B77" s="63"/>
      <c r="C77" s="39" t="s">
        <v>36</v>
      </c>
      <c r="D77" s="39">
        <v>5</v>
      </c>
      <c r="E77" s="40" t="s">
        <v>36</v>
      </c>
      <c r="F77" s="41" t="s">
        <v>36</v>
      </c>
      <c r="G77" s="41" t="s">
        <v>36</v>
      </c>
      <c r="H77" s="42" t="s">
        <v>36</v>
      </c>
      <c r="I77" s="43"/>
      <c r="J77" s="44"/>
      <c r="K77" s="45" t="s">
        <v>36</v>
      </c>
      <c r="L77" s="47" t="s">
        <v>36</v>
      </c>
      <c r="M77" s="47" t="s">
        <v>36</v>
      </c>
      <c r="N77" s="48" t="s">
        <v>36</v>
      </c>
      <c r="O77" s="49"/>
      <c r="P77" s="49"/>
      <c r="Q77" s="50">
        <v>0</v>
      </c>
      <c r="R77" s="51" t="s">
        <v>36</v>
      </c>
      <c r="S77" s="61" t="e">
        <v>#VALUE!</v>
      </c>
      <c r="T77" s="53" t="s">
        <v>36</v>
      </c>
      <c r="U77" s="54" t="s">
        <v>36</v>
      </c>
      <c r="V77" s="54" t="s">
        <v>36</v>
      </c>
      <c r="W77" s="54" t="s">
        <v>36</v>
      </c>
      <c r="X77" s="55" t="s">
        <v>36</v>
      </c>
      <c r="Y77" s="1"/>
      <c r="Z77" s="1"/>
      <c r="AA77" s="5">
        <v>0</v>
      </c>
      <c r="AB77" s="56" t="e">
        <v>#REF!</v>
      </c>
      <c r="AC77" s="5">
        <v>0</v>
      </c>
    </row>
    <row r="78" spans="1:29" ht="15.5" hidden="1" x14ac:dyDescent="0.35">
      <c r="A78" s="38" t="s">
        <v>34</v>
      </c>
      <c r="B78" s="63"/>
      <c r="C78" s="39" t="s">
        <v>36</v>
      </c>
      <c r="D78" s="39">
        <v>5</v>
      </c>
      <c r="E78" s="40" t="s">
        <v>36</v>
      </c>
      <c r="F78" s="41" t="s">
        <v>36</v>
      </c>
      <c r="G78" s="41" t="s">
        <v>36</v>
      </c>
      <c r="H78" s="42" t="s">
        <v>36</v>
      </c>
      <c r="I78" s="43"/>
      <c r="J78" s="44"/>
      <c r="K78" s="45" t="s">
        <v>36</v>
      </c>
      <c r="L78" s="47" t="s">
        <v>36</v>
      </c>
      <c r="M78" s="47" t="s">
        <v>36</v>
      </c>
      <c r="N78" s="48" t="s">
        <v>36</v>
      </c>
      <c r="O78" s="49"/>
      <c r="P78" s="49"/>
      <c r="Q78" s="50">
        <v>0</v>
      </c>
      <c r="R78" s="51" t="s">
        <v>36</v>
      </c>
      <c r="S78" s="61" t="e">
        <v>#VALUE!</v>
      </c>
      <c r="T78" s="53" t="s">
        <v>36</v>
      </c>
      <c r="U78" s="54" t="s">
        <v>36</v>
      </c>
      <c r="V78" s="54" t="s">
        <v>36</v>
      </c>
      <c r="W78" s="54" t="s">
        <v>36</v>
      </c>
      <c r="X78" s="55" t="s">
        <v>36</v>
      </c>
      <c r="Y78" s="1"/>
      <c r="Z78" s="1"/>
      <c r="AA78" s="5">
        <v>0</v>
      </c>
      <c r="AB78" s="56" t="e">
        <v>#REF!</v>
      </c>
      <c r="AC78" s="5">
        <v>0</v>
      </c>
    </row>
    <row r="79" spans="1:29" ht="15.5" hidden="1" x14ac:dyDescent="0.35">
      <c r="A79" s="38" t="s">
        <v>34</v>
      </c>
      <c r="B79" s="63"/>
      <c r="C79" s="39" t="s">
        <v>36</v>
      </c>
      <c r="D79" s="39">
        <v>5</v>
      </c>
      <c r="E79" s="40" t="s">
        <v>36</v>
      </c>
      <c r="F79" s="41" t="s">
        <v>36</v>
      </c>
      <c r="G79" s="41" t="s">
        <v>36</v>
      </c>
      <c r="H79" s="42" t="s">
        <v>36</v>
      </c>
      <c r="I79" s="66"/>
      <c r="J79" s="44"/>
      <c r="K79" s="45" t="s">
        <v>36</v>
      </c>
      <c r="L79" s="47" t="s">
        <v>36</v>
      </c>
      <c r="M79" s="47" t="s">
        <v>36</v>
      </c>
      <c r="N79" s="48" t="s">
        <v>36</v>
      </c>
      <c r="O79" s="49"/>
      <c r="P79" s="49"/>
      <c r="Q79" s="50">
        <v>0</v>
      </c>
      <c r="R79" s="51" t="s">
        <v>36</v>
      </c>
      <c r="S79" s="61" t="e">
        <v>#VALUE!</v>
      </c>
      <c r="T79" s="53" t="s">
        <v>36</v>
      </c>
      <c r="U79" s="54" t="s">
        <v>36</v>
      </c>
      <c r="V79" s="54" t="s">
        <v>36</v>
      </c>
      <c r="W79" s="54" t="s">
        <v>36</v>
      </c>
      <c r="X79" s="55" t="s">
        <v>36</v>
      </c>
      <c r="Y79" s="1"/>
      <c r="Z79" s="1"/>
      <c r="AA79" s="5">
        <v>0</v>
      </c>
      <c r="AB79" s="56" t="e">
        <v>#REF!</v>
      </c>
      <c r="AC79" s="5">
        <v>0</v>
      </c>
    </row>
    <row r="80" spans="1:29" ht="15.5" hidden="1" x14ac:dyDescent="0.35">
      <c r="A80" s="38" t="s">
        <v>34</v>
      </c>
      <c r="B80" s="63"/>
      <c r="C80" s="39" t="s">
        <v>36</v>
      </c>
      <c r="D80" s="39">
        <v>5</v>
      </c>
      <c r="E80" s="40" t="s">
        <v>36</v>
      </c>
      <c r="F80" s="41" t="s">
        <v>36</v>
      </c>
      <c r="G80" s="41" t="s">
        <v>36</v>
      </c>
      <c r="H80" s="42" t="s">
        <v>36</v>
      </c>
      <c r="I80" s="66"/>
      <c r="J80" s="44"/>
      <c r="K80" s="45" t="s">
        <v>36</v>
      </c>
      <c r="L80" s="67" t="s">
        <v>36</v>
      </c>
      <c r="M80" s="47" t="s">
        <v>36</v>
      </c>
      <c r="N80" s="48" t="s">
        <v>36</v>
      </c>
      <c r="O80" s="49"/>
      <c r="P80" s="49"/>
      <c r="Q80" s="50">
        <v>0</v>
      </c>
      <c r="R80" s="51" t="s">
        <v>36</v>
      </c>
      <c r="S80" s="61" t="e">
        <v>#VALUE!</v>
      </c>
      <c r="T80" s="53" t="s">
        <v>36</v>
      </c>
      <c r="U80" s="54" t="s">
        <v>36</v>
      </c>
      <c r="V80" s="54" t="s">
        <v>36</v>
      </c>
      <c r="W80" s="54" t="s">
        <v>36</v>
      </c>
      <c r="X80" s="55" t="s">
        <v>36</v>
      </c>
      <c r="Y80" s="1"/>
      <c r="Z80" s="1"/>
      <c r="AA80" s="5">
        <v>0</v>
      </c>
      <c r="AB80" s="56" t="e">
        <v>#REF!</v>
      </c>
      <c r="AC80" s="5">
        <v>0</v>
      </c>
    </row>
    <row r="81" spans="1:29" ht="13.5" hidden="1" customHeight="1" x14ac:dyDescent="0.35">
      <c r="A81" s="38" t="s">
        <v>34</v>
      </c>
      <c r="B81" s="63"/>
      <c r="C81" s="39" t="s">
        <v>36</v>
      </c>
      <c r="D81" s="39">
        <v>5</v>
      </c>
      <c r="E81" s="40" t="s">
        <v>36</v>
      </c>
      <c r="F81" s="41" t="s">
        <v>36</v>
      </c>
      <c r="G81" s="41" t="s">
        <v>36</v>
      </c>
      <c r="H81" s="42" t="s">
        <v>36</v>
      </c>
      <c r="I81" s="66"/>
      <c r="J81" s="44"/>
      <c r="K81" s="45" t="s">
        <v>36</v>
      </c>
      <c r="L81" s="47" t="s">
        <v>36</v>
      </c>
      <c r="M81" s="47" t="s">
        <v>36</v>
      </c>
      <c r="N81" s="48" t="s">
        <v>36</v>
      </c>
      <c r="O81" s="49"/>
      <c r="P81" s="49"/>
      <c r="Q81" s="50">
        <v>0</v>
      </c>
      <c r="R81" s="51" t="s">
        <v>36</v>
      </c>
      <c r="S81" s="61" t="e">
        <v>#VALUE!</v>
      </c>
      <c r="T81" s="53" t="s">
        <v>36</v>
      </c>
      <c r="U81" s="54" t="s">
        <v>36</v>
      </c>
      <c r="V81" s="54" t="s">
        <v>36</v>
      </c>
      <c r="W81" s="54" t="s">
        <v>36</v>
      </c>
      <c r="X81" s="55" t="s">
        <v>36</v>
      </c>
      <c r="Y81" s="1"/>
      <c r="Z81" s="1"/>
      <c r="AA81" s="5">
        <v>0</v>
      </c>
      <c r="AB81" s="56" t="e">
        <v>#REF!</v>
      </c>
      <c r="AC81" s="5">
        <v>0</v>
      </c>
    </row>
    <row r="82" spans="1:29" ht="13.5" hidden="1" customHeight="1" x14ac:dyDescent="0.35">
      <c r="A82" s="38" t="s">
        <v>34</v>
      </c>
      <c r="B82" s="63"/>
      <c r="C82" s="39" t="s">
        <v>36</v>
      </c>
      <c r="D82" s="39">
        <v>5</v>
      </c>
      <c r="E82" s="40" t="s">
        <v>36</v>
      </c>
      <c r="F82" s="41" t="s">
        <v>36</v>
      </c>
      <c r="G82" s="41" t="s">
        <v>36</v>
      </c>
      <c r="H82" s="42" t="s">
        <v>36</v>
      </c>
      <c r="I82" s="66"/>
      <c r="J82" s="44"/>
      <c r="K82" s="45" t="s">
        <v>36</v>
      </c>
      <c r="L82" s="47" t="s">
        <v>36</v>
      </c>
      <c r="M82" s="47" t="s">
        <v>36</v>
      </c>
      <c r="N82" s="48" t="s">
        <v>36</v>
      </c>
      <c r="O82" s="49"/>
      <c r="P82" s="49"/>
      <c r="Q82" s="50">
        <v>0</v>
      </c>
      <c r="R82" s="51" t="s">
        <v>36</v>
      </c>
      <c r="S82" s="61" t="e">
        <v>#VALUE!</v>
      </c>
      <c r="T82" s="53" t="s">
        <v>36</v>
      </c>
      <c r="U82" s="54" t="s">
        <v>36</v>
      </c>
      <c r="V82" s="54" t="s">
        <v>36</v>
      </c>
      <c r="W82" s="54" t="s">
        <v>36</v>
      </c>
      <c r="X82" s="55" t="s">
        <v>36</v>
      </c>
      <c r="Y82" s="1"/>
      <c r="Z82" s="1"/>
      <c r="AA82" s="5">
        <v>0</v>
      </c>
      <c r="AB82" s="56" t="e">
        <v>#REF!</v>
      </c>
      <c r="AC82" s="5">
        <v>0</v>
      </c>
    </row>
    <row r="83" spans="1:29" ht="13.5" hidden="1" customHeight="1" x14ac:dyDescent="0.35">
      <c r="A83" s="38" t="s">
        <v>34</v>
      </c>
      <c r="B83" s="63"/>
      <c r="C83" s="39" t="s">
        <v>36</v>
      </c>
      <c r="D83" s="39">
        <v>5</v>
      </c>
      <c r="E83" s="40" t="s">
        <v>36</v>
      </c>
      <c r="F83" s="41" t="s">
        <v>36</v>
      </c>
      <c r="G83" s="41" t="s">
        <v>36</v>
      </c>
      <c r="H83" s="42" t="s">
        <v>36</v>
      </c>
      <c r="I83" s="66"/>
      <c r="J83" s="44"/>
      <c r="K83" s="45" t="s">
        <v>36</v>
      </c>
      <c r="L83" s="47" t="s">
        <v>36</v>
      </c>
      <c r="M83" s="47" t="s">
        <v>36</v>
      </c>
      <c r="N83" s="48" t="s">
        <v>36</v>
      </c>
      <c r="O83" s="49"/>
      <c r="P83" s="49"/>
      <c r="Q83" s="50">
        <v>0</v>
      </c>
      <c r="R83" s="51" t="s">
        <v>36</v>
      </c>
      <c r="S83" s="61" t="e">
        <v>#VALUE!</v>
      </c>
      <c r="T83" s="53" t="s">
        <v>36</v>
      </c>
      <c r="U83" s="54" t="s">
        <v>36</v>
      </c>
      <c r="V83" s="54" t="s">
        <v>36</v>
      </c>
      <c r="W83" s="54" t="s">
        <v>36</v>
      </c>
      <c r="X83" s="55" t="s">
        <v>36</v>
      </c>
      <c r="Y83" s="1"/>
      <c r="Z83" s="1"/>
      <c r="AA83" s="5">
        <v>0</v>
      </c>
      <c r="AB83" s="56" t="e">
        <v>#REF!</v>
      </c>
      <c r="AC83" s="5">
        <v>0</v>
      </c>
    </row>
    <row r="84" spans="1:29" ht="13.5" customHeight="1" x14ac:dyDescent="0.35">
      <c r="A84" s="38"/>
      <c r="B84" s="63"/>
      <c r="C84" s="39" t="s">
        <v>36</v>
      </c>
      <c r="D84" s="39"/>
      <c r="E84" s="40" t="s">
        <v>36</v>
      </c>
      <c r="F84" s="41" t="s">
        <v>36</v>
      </c>
      <c r="G84" s="41" t="s">
        <v>36</v>
      </c>
      <c r="H84" s="42" t="s">
        <v>36</v>
      </c>
      <c r="I84" s="66"/>
      <c r="J84" s="44"/>
      <c r="K84" s="45" t="s">
        <v>36</v>
      </c>
      <c r="L84" s="47"/>
      <c r="M84" s="47"/>
      <c r="N84" s="48" t="s">
        <v>36</v>
      </c>
      <c r="O84" s="49"/>
      <c r="P84" s="49"/>
      <c r="Q84" s="50">
        <v>0</v>
      </c>
      <c r="R84" s="51" t="s">
        <v>36</v>
      </c>
      <c r="S84" s="61"/>
      <c r="T84" s="53"/>
      <c r="U84" s="54" t="s">
        <v>36</v>
      </c>
      <c r="V84" s="54" t="s">
        <v>36</v>
      </c>
      <c r="W84" s="54" t="s">
        <v>36</v>
      </c>
      <c r="X84" s="55" t="s">
        <v>36</v>
      </c>
      <c r="Y84" s="1"/>
      <c r="Z84" s="1"/>
      <c r="AA84" s="5"/>
      <c r="AB84" s="56"/>
      <c r="AC84" s="5"/>
    </row>
    <row r="85" spans="1:29" ht="15.5" x14ac:dyDescent="0.35">
      <c r="A85" s="38"/>
      <c r="B85" s="63"/>
      <c r="C85" s="39" t="s">
        <v>36</v>
      </c>
      <c r="D85" s="39"/>
      <c r="E85" s="40" t="s">
        <v>36</v>
      </c>
      <c r="F85" s="41" t="s">
        <v>36</v>
      </c>
      <c r="G85" s="41" t="s">
        <v>36</v>
      </c>
      <c r="H85" s="42" t="s">
        <v>36</v>
      </c>
      <c r="I85" s="66"/>
      <c r="J85" s="44"/>
      <c r="K85" s="45" t="s">
        <v>36</v>
      </c>
      <c r="L85" s="47" t="s">
        <v>36</v>
      </c>
      <c r="M85" s="47" t="s">
        <v>36</v>
      </c>
      <c r="N85" s="48" t="s">
        <v>36</v>
      </c>
      <c r="O85" s="49"/>
      <c r="P85" s="49"/>
      <c r="Q85" s="50">
        <v>0</v>
      </c>
      <c r="R85" s="51" t="s">
        <v>36</v>
      </c>
      <c r="S85" s="61"/>
      <c r="T85" s="53"/>
      <c r="U85" s="54" t="s">
        <v>36</v>
      </c>
      <c r="V85" s="54" t="s">
        <v>36</v>
      </c>
      <c r="W85" s="54" t="s">
        <v>36</v>
      </c>
      <c r="X85" s="55" t="s">
        <v>36</v>
      </c>
      <c r="Y85" s="1"/>
      <c r="Z85" s="1"/>
      <c r="AA85" s="5">
        <v>0</v>
      </c>
      <c r="AB85" s="56" t="e">
        <v>#REF!</v>
      </c>
      <c r="AC85" s="5">
        <v>0</v>
      </c>
    </row>
    <row r="86" spans="1:29" ht="15.5" x14ac:dyDescent="0.35">
      <c r="A86" s="38"/>
      <c r="B86" s="63"/>
      <c r="C86" s="39" t="s">
        <v>36</v>
      </c>
      <c r="D86" s="39"/>
      <c r="E86" s="40" t="s">
        <v>36</v>
      </c>
      <c r="F86" s="41" t="s">
        <v>36</v>
      </c>
      <c r="G86" s="41" t="s">
        <v>36</v>
      </c>
      <c r="H86" s="42" t="s">
        <v>36</v>
      </c>
      <c r="I86" s="66"/>
      <c r="J86" s="44"/>
      <c r="K86" s="45" t="s">
        <v>36</v>
      </c>
      <c r="L86" s="47" t="s">
        <v>36</v>
      </c>
      <c r="M86" s="47" t="s">
        <v>36</v>
      </c>
      <c r="N86" s="48" t="s">
        <v>36</v>
      </c>
      <c r="O86" s="49"/>
      <c r="P86" s="49"/>
      <c r="Q86" s="50">
        <v>0</v>
      </c>
      <c r="R86" s="51" t="s">
        <v>36</v>
      </c>
      <c r="S86" s="61"/>
      <c r="T86" s="53"/>
      <c r="U86" s="54" t="s">
        <v>36</v>
      </c>
      <c r="V86" s="54" t="s">
        <v>36</v>
      </c>
      <c r="W86" s="54" t="s">
        <v>36</v>
      </c>
      <c r="X86" s="55" t="s">
        <v>36</v>
      </c>
      <c r="Y86" s="1"/>
      <c r="Z86" s="1"/>
      <c r="AA86" s="5">
        <v>0</v>
      </c>
      <c r="AB86" s="56" t="e">
        <v>#REF!</v>
      </c>
      <c r="AC86" s="5">
        <v>0</v>
      </c>
    </row>
    <row r="87" spans="1:29" ht="15.5" x14ac:dyDescent="0.35">
      <c r="A87" s="38" t="s">
        <v>35</v>
      </c>
      <c r="B87" s="63">
        <v>18122</v>
      </c>
      <c r="C87" s="39" t="s">
        <v>168</v>
      </c>
      <c r="D87" s="39">
        <v>6</v>
      </c>
      <c r="E87" s="40">
        <v>1901156</v>
      </c>
      <c r="F87" s="41">
        <v>4012689</v>
      </c>
      <c r="G87" s="41">
        <v>4013635</v>
      </c>
      <c r="H87" s="42" t="s">
        <v>186</v>
      </c>
      <c r="I87" s="43">
        <v>12164180</v>
      </c>
      <c r="J87" s="44"/>
      <c r="K87" s="45">
        <v>158.99470899470901</v>
      </c>
      <c r="L87" s="47">
        <v>142</v>
      </c>
      <c r="M87" s="47">
        <v>47.333333333333336</v>
      </c>
      <c r="N87" s="48">
        <v>1.05</v>
      </c>
      <c r="O87" s="49">
        <v>150</v>
      </c>
      <c r="P87" s="49"/>
      <c r="Q87" s="50">
        <v>150</v>
      </c>
      <c r="R87" s="51">
        <v>0.5946998918359836</v>
      </c>
      <c r="S87" s="61">
        <v>3</v>
      </c>
      <c r="T87" s="53">
        <v>0.125</v>
      </c>
      <c r="U87" s="54">
        <v>2</v>
      </c>
      <c r="V87" s="54">
        <v>36.964285714285715</v>
      </c>
      <c r="W87" s="54">
        <v>4027464</v>
      </c>
      <c r="X87" s="55">
        <v>3</v>
      </c>
      <c r="Y87" s="1"/>
      <c r="Z87" s="1"/>
      <c r="AA87" s="5">
        <v>252.22806000000003</v>
      </c>
      <c r="AB87" s="56">
        <v>0</v>
      </c>
      <c r="AC87" s="5">
        <v>0</v>
      </c>
    </row>
    <row r="88" spans="1:29" ht="13.5" customHeight="1" x14ac:dyDescent="0.35">
      <c r="A88" s="38" t="s">
        <v>35</v>
      </c>
      <c r="B88" s="63">
        <v>25665</v>
      </c>
      <c r="C88" s="39" t="s">
        <v>168</v>
      </c>
      <c r="D88" s="39">
        <v>6</v>
      </c>
      <c r="E88" s="40">
        <v>1902009</v>
      </c>
      <c r="F88" s="41">
        <v>4013201</v>
      </c>
      <c r="G88" s="41">
        <v>4013635</v>
      </c>
      <c r="H88" s="42" t="s">
        <v>187</v>
      </c>
      <c r="I88" s="43">
        <v>12164181</v>
      </c>
      <c r="J88" s="44"/>
      <c r="K88" s="45">
        <v>169.87983141721571</v>
      </c>
      <c r="L88" s="47">
        <v>1530</v>
      </c>
      <c r="M88" s="47">
        <v>153</v>
      </c>
      <c r="N88" s="48">
        <v>0.1</v>
      </c>
      <c r="O88" s="49">
        <v>153</v>
      </c>
      <c r="P88" s="49"/>
      <c r="Q88" s="50">
        <v>153</v>
      </c>
      <c r="R88" s="51">
        <v>1.1174653257082758</v>
      </c>
      <c r="S88" s="61">
        <v>4.3446998918359832</v>
      </c>
      <c r="T88" s="53">
        <v>0.18102916215983264</v>
      </c>
      <c r="U88" s="54">
        <v>6</v>
      </c>
      <c r="V88" s="54">
        <v>131.96249999999998</v>
      </c>
      <c r="W88" s="54">
        <v>4022087</v>
      </c>
      <c r="X88" s="55">
        <v>10</v>
      </c>
      <c r="Y88" s="1"/>
      <c r="Z88" s="1"/>
      <c r="AA88" s="5">
        <v>136.917</v>
      </c>
      <c r="AB88" s="56" t="e">
        <v>#REF!</v>
      </c>
      <c r="AC88" s="5" t="e">
        <v>#REF!</v>
      </c>
    </row>
    <row r="89" spans="1:29" ht="15.5" x14ac:dyDescent="0.35">
      <c r="A89" s="38" t="s">
        <v>35</v>
      </c>
      <c r="B89" s="63">
        <v>18422</v>
      </c>
      <c r="C89" s="39" t="s">
        <v>164</v>
      </c>
      <c r="D89" s="39">
        <v>6</v>
      </c>
      <c r="E89" s="40">
        <v>1901164</v>
      </c>
      <c r="F89" s="41">
        <v>4022166</v>
      </c>
      <c r="G89" s="41">
        <v>4013635</v>
      </c>
      <c r="H89" s="42" t="s">
        <v>188</v>
      </c>
      <c r="I89" s="43">
        <v>12164182</v>
      </c>
      <c r="J89" s="44"/>
      <c r="K89" s="45">
        <v>523.81002742700832</v>
      </c>
      <c r="L89" s="47">
        <v>5000</v>
      </c>
      <c r="M89" s="47">
        <v>416.66666666666669</v>
      </c>
      <c r="N89" s="48">
        <v>0.1</v>
      </c>
      <c r="O89" s="49">
        <v>500</v>
      </c>
      <c r="P89" s="49"/>
      <c r="Q89" s="50">
        <v>500</v>
      </c>
      <c r="R89" s="51">
        <v>3.9417317446577709</v>
      </c>
      <c r="S89" s="61">
        <v>5.4621652175442588</v>
      </c>
      <c r="T89" s="53">
        <v>0.22759021739767746</v>
      </c>
      <c r="U89" s="54">
        <v>6</v>
      </c>
      <c r="V89" s="54">
        <v>431.24999999999994</v>
      </c>
      <c r="W89" s="54">
        <v>4022087</v>
      </c>
      <c r="X89" s="55">
        <v>12</v>
      </c>
      <c r="Y89" s="1"/>
      <c r="Z89" s="1"/>
      <c r="AA89" s="5">
        <v>126.84780000000001</v>
      </c>
      <c r="AB89" s="56"/>
      <c r="AC89" s="5"/>
    </row>
    <row r="90" spans="1:29" ht="12.75" customHeight="1" x14ac:dyDescent="0.35">
      <c r="A90" s="38" t="s">
        <v>35</v>
      </c>
      <c r="B90" s="63">
        <v>28668</v>
      </c>
      <c r="C90" s="39" t="s">
        <v>168</v>
      </c>
      <c r="D90" s="39">
        <v>6</v>
      </c>
      <c r="E90" s="40">
        <v>1901164</v>
      </c>
      <c r="F90" s="41">
        <v>4022166</v>
      </c>
      <c r="G90" s="41">
        <v>4013635</v>
      </c>
      <c r="H90" s="42" t="s">
        <v>189</v>
      </c>
      <c r="I90" s="43">
        <v>12164183</v>
      </c>
      <c r="J90" s="44"/>
      <c r="K90" s="45">
        <v>525.47624932487486</v>
      </c>
      <c r="L90" s="47">
        <v>5000</v>
      </c>
      <c r="M90" s="47">
        <v>416.66666666666669</v>
      </c>
      <c r="N90" s="48">
        <v>0.1</v>
      </c>
      <c r="O90" s="49">
        <v>500</v>
      </c>
      <c r="P90" s="49"/>
      <c r="Q90" s="50">
        <v>500</v>
      </c>
      <c r="R90" s="51">
        <v>2.2388794855950493</v>
      </c>
      <c r="S90" s="61">
        <v>9.4038969622020296</v>
      </c>
      <c r="T90" s="53">
        <v>0.39182904009175124</v>
      </c>
      <c r="U90" s="54">
        <v>6</v>
      </c>
      <c r="V90" s="54">
        <v>431.24999999999994</v>
      </c>
      <c r="W90" s="54">
        <v>4035983</v>
      </c>
      <c r="X90" s="55">
        <v>12</v>
      </c>
      <c r="Y90" s="1"/>
      <c r="Z90" s="1"/>
      <c r="AA90" s="5">
        <v>223.32599999999999</v>
      </c>
      <c r="AB90" s="56"/>
      <c r="AC90" s="5"/>
    </row>
    <row r="91" spans="1:29" ht="12.75" customHeight="1" x14ac:dyDescent="0.35">
      <c r="A91" s="38" t="s">
        <v>35</v>
      </c>
      <c r="B91" s="63">
        <v>18408</v>
      </c>
      <c r="C91" s="39" t="s">
        <v>164</v>
      </c>
      <c r="D91" s="39">
        <v>6</v>
      </c>
      <c r="E91" s="40">
        <v>1901156</v>
      </c>
      <c r="F91" s="41">
        <v>4036401</v>
      </c>
      <c r="G91" s="41">
        <v>4013635</v>
      </c>
      <c r="H91" s="42" t="s">
        <v>190</v>
      </c>
      <c r="I91" s="43">
        <v>12164184</v>
      </c>
      <c r="J91" s="44"/>
      <c r="K91" s="45">
        <v>3337.7665481594104</v>
      </c>
      <c r="L91" s="47">
        <v>16000</v>
      </c>
      <c r="M91" s="47">
        <v>1142.8571428571429</v>
      </c>
      <c r="N91" s="48">
        <v>0.2</v>
      </c>
      <c r="O91" s="49">
        <v>3200</v>
      </c>
      <c r="P91" s="49"/>
      <c r="Q91" s="50">
        <v>3200</v>
      </c>
      <c r="R91" s="51">
        <v>10.248198558847077</v>
      </c>
      <c r="S91" s="61">
        <v>11.642776447797079</v>
      </c>
      <c r="T91" s="53">
        <v>0.48511568532487831</v>
      </c>
      <c r="U91" s="54">
        <v>6</v>
      </c>
      <c r="V91" s="54">
        <v>1380</v>
      </c>
      <c r="W91" s="54">
        <v>4013239</v>
      </c>
      <c r="X91" s="55">
        <v>14</v>
      </c>
      <c r="Y91" s="1"/>
      <c r="Z91" s="1"/>
      <c r="AA91" s="5">
        <v>312.25</v>
      </c>
      <c r="AB91" s="56"/>
      <c r="AC91" s="5"/>
    </row>
    <row r="92" spans="1:29" ht="12.75" customHeight="1" x14ac:dyDescent="0.35">
      <c r="A92" s="38" t="s">
        <v>35</v>
      </c>
      <c r="B92" s="63"/>
      <c r="C92" s="39" t="s">
        <v>36</v>
      </c>
      <c r="D92" s="39">
        <v>6</v>
      </c>
      <c r="E92" s="40" t="s">
        <v>36</v>
      </c>
      <c r="F92" s="41" t="s">
        <v>36</v>
      </c>
      <c r="G92" s="41" t="s">
        <v>36</v>
      </c>
      <c r="H92" s="42" t="s">
        <v>36</v>
      </c>
      <c r="I92" s="43"/>
      <c r="J92" s="44"/>
      <c r="K92" s="45" t="s">
        <v>36</v>
      </c>
      <c r="L92" s="47" t="s">
        <v>36</v>
      </c>
      <c r="M92" s="47" t="s">
        <v>36</v>
      </c>
      <c r="N92" s="48" t="s">
        <v>36</v>
      </c>
      <c r="O92" s="49"/>
      <c r="P92" s="64"/>
      <c r="Q92" s="50">
        <v>0</v>
      </c>
      <c r="R92" s="51" t="s">
        <v>36</v>
      </c>
      <c r="S92" s="61">
        <v>23.390975006644155</v>
      </c>
      <c r="T92" s="53">
        <v>0.97462395861017315</v>
      </c>
      <c r="U92" s="54" t="s">
        <v>36</v>
      </c>
      <c r="V92" s="54" t="s">
        <v>36</v>
      </c>
      <c r="W92" s="54" t="s">
        <v>36</v>
      </c>
      <c r="X92" s="55" t="s">
        <v>36</v>
      </c>
      <c r="Y92" s="1"/>
      <c r="Z92" s="1"/>
      <c r="AA92" s="5">
        <v>0</v>
      </c>
      <c r="AB92" s="56"/>
      <c r="AC92" s="5"/>
    </row>
    <row r="93" spans="1:29" ht="12.75" customHeight="1" x14ac:dyDescent="0.35">
      <c r="A93" s="38" t="s">
        <v>35</v>
      </c>
      <c r="B93" s="63"/>
      <c r="C93" s="39" t="s">
        <v>36</v>
      </c>
      <c r="D93" s="39">
        <v>6</v>
      </c>
      <c r="E93" s="40" t="s">
        <v>36</v>
      </c>
      <c r="F93" s="41" t="s">
        <v>36</v>
      </c>
      <c r="G93" s="41" t="s">
        <v>36</v>
      </c>
      <c r="H93" s="42" t="s">
        <v>36</v>
      </c>
      <c r="I93" s="43"/>
      <c r="J93" s="44"/>
      <c r="K93" s="45" t="s">
        <v>36</v>
      </c>
      <c r="L93" s="47" t="s">
        <v>36</v>
      </c>
      <c r="M93" s="47" t="s">
        <v>36</v>
      </c>
      <c r="N93" s="48" t="s">
        <v>36</v>
      </c>
      <c r="O93" s="49"/>
      <c r="P93" s="64"/>
      <c r="Q93" s="50">
        <v>0</v>
      </c>
      <c r="R93" s="51" t="s">
        <v>36</v>
      </c>
      <c r="S93" s="61" t="e">
        <v>#VALUE!</v>
      </c>
      <c r="T93" s="53" t="s">
        <v>36</v>
      </c>
      <c r="U93" s="54" t="s">
        <v>36</v>
      </c>
      <c r="V93" s="54" t="s">
        <v>36</v>
      </c>
      <c r="W93" s="54" t="s">
        <v>36</v>
      </c>
      <c r="X93" s="55" t="s">
        <v>36</v>
      </c>
      <c r="Y93" s="1"/>
      <c r="Z93" s="1"/>
      <c r="AA93" s="5">
        <v>0</v>
      </c>
      <c r="AB93" s="56"/>
      <c r="AC93" s="5"/>
    </row>
    <row r="94" spans="1:29" ht="12.75" hidden="1" customHeight="1" x14ac:dyDescent="0.35">
      <c r="A94" s="38" t="s">
        <v>35</v>
      </c>
      <c r="B94" s="63"/>
      <c r="C94" s="39" t="s">
        <v>36</v>
      </c>
      <c r="D94" s="39">
        <v>6</v>
      </c>
      <c r="E94" s="40" t="s">
        <v>36</v>
      </c>
      <c r="F94" s="41" t="s">
        <v>36</v>
      </c>
      <c r="G94" s="41" t="s">
        <v>36</v>
      </c>
      <c r="H94" s="42" t="s">
        <v>36</v>
      </c>
      <c r="I94" s="66"/>
      <c r="J94" s="44"/>
      <c r="K94" s="45" t="s">
        <v>36</v>
      </c>
      <c r="L94" s="47" t="s">
        <v>36</v>
      </c>
      <c r="M94" s="47" t="s">
        <v>36</v>
      </c>
      <c r="N94" s="48" t="s">
        <v>36</v>
      </c>
      <c r="O94" s="49"/>
      <c r="P94" s="49"/>
      <c r="Q94" s="50">
        <v>0</v>
      </c>
      <c r="R94" s="51" t="s">
        <v>36</v>
      </c>
      <c r="S94" s="61" t="e">
        <v>#VALUE!</v>
      </c>
      <c r="T94" s="53" t="s">
        <v>36</v>
      </c>
      <c r="U94" s="54" t="s">
        <v>36</v>
      </c>
      <c r="V94" s="54" t="s">
        <v>36</v>
      </c>
      <c r="W94" s="54" t="s">
        <v>36</v>
      </c>
      <c r="X94" s="55" t="s">
        <v>36</v>
      </c>
      <c r="Y94" s="1"/>
      <c r="Z94" s="1"/>
      <c r="AA94" s="5">
        <v>0</v>
      </c>
      <c r="AB94" s="56"/>
      <c r="AC94" s="5"/>
    </row>
    <row r="95" spans="1:29" ht="12.75" hidden="1" customHeight="1" x14ac:dyDescent="0.35">
      <c r="A95" s="38" t="s">
        <v>35</v>
      </c>
      <c r="B95" s="63"/>
      <c r="C95" s="39" t="s">
        <v>36</v>
      </c>
      <c r="D95" s="39">
        <v>6</v>
      </c>
      <c r="E95" s="40" t="s">
        <v>36</v>
      </c>
      <c r="F95" s="41" t="s">
        <v>36</v>
      </c>
      <c r="G95" s="41" t="s">
        <v>36</v>
      </c>
      <c r="H95" s="42" t="s">
        <v>36</v>
      </c>
      <c r="I95" s="66"/>
      <c r="J95" s="44"/>
      <c r="K95" s="45" t="s">
        <v>36</v>
      </c>
      <c r="L95" s="47" t="s">
        <v>36</v>
      </c>
      <c r="M95" s="47" t="s">
        <v>36</v>
      </c>
      <c r="N95" s="48" t="s">
        <v>36</v>
      </c>
      <c r="O95" s="49"/>
      <c r="P95" s="49"/>
      <c r="Q95" s="50">
        <v>0</v>
      </c>
      <c r="R95" s="51" t="s">
        <v>36</v>
      </c>
      <c r="S95" s="61" t="e">
        <v>#VALUE!</v>
      </c>
      <c r="T95" s="53" t="s">
        <v>36</v>
      </c>
      <c r="U95" s="54" t="s">
        <v>36</v>
      </c>
      <c r="V95" s="54" t="s">
        <v>36</v>
      </c>
      <c r="W95" s="54" t="s">
        <v>36</v>
      </c>
      <c r="X95" s="55" t="s">
        <v>36</v>
      </c>
      <c r="Y95" s="1"/>
      <c r="Z95" s="1"/>
      <c r="AA95" s="5">
        <v>0</v>
      </c>
      <c r="AB95" s="56"/>
      <c r="AC95" s="5"/>
    </row>
    <row r="96" spans="1:29" ht="12.75" hidden="1" customHeight="1" x14ac:dyDescent="0.35">
      <c r="A96" s="38" t="s">
        <v>35</v>
      </c>
      <c r="B96" s="38"/>
      <c r="C96" s="39" t="s">
        <v>36</v>
      </c>
      <c r="D96" s="39">
        <v>6</v>
      </c>
      <c r="E96" s="40" t="s">
        <v>36</v>
      </c>
      <c r="F96" s="41" t="s">
        <v>36</v>
      </c>
      <c r="G96" s="41" t="s">
        <v>36</v>
      </c>
      <c r="H96" s="42" t="s">
        <v>36</v>
      </c>
      <c r="I96" s="66"/>
      <c r="J96" s="44"/>
      <c r="K96" s="45" t="s">
        <v>36</v>
      </c>
      <c r="L96" s="47" t="s">
        <v>36</v>
      </c>
      <c r="M96" s="47" t="s">
        <v>36</v>
      </c>
      <c r="N96" s="48" t="s">
        <v>36</v>
      </c>
      <c r="O96" s="49"/>
      <c r="P96" s="49"/>
      <c r="Q96" s="50">
        <v>0</v>
      </c>
      <c r="R96" s="51" t="s">
        <v>36</v>
      </c>
      <c r="S96" s="61" t="e">
        <v>#VALUE!</v>
      </c>
      <c r="T96" s="53" t="s">
        <v>36</v>
      </c>
      <c r="U96" s="54" t="s">
        <v>36</v>
      </c>
      <c r="V96" s="54" t="s">
        <v>36</v>
      </c>
      <c r="W96" s="54" t="s">
        <v>36</v>
      </c>
      <c r="X96" s="55" t="s">
        <v>36</v>
      </c>
      <c r="Y96" s="1"/>
      <c r="Z96" s="1"/>
      <c r="AA96" s="5">
        <v>0</v>
      </c>
      <c r="AB96" s="56"/>
      <c r="AC96" s="5"/>
    </row>
    <row r="97" spans="1:29" ht="12.75" hidden="1" customHeight="1" x14ac:dyDescent="0.35">
      <c r="A97" s="38" t="s">
        <v>35</v>
      </c>
      <c r="B97" s="38"/>
      <c r="C97" s="39" t="s">
        <v>36</v>
      </c>
      <c r="D97" s="39">
        <v>6</v>
      </c>
      <c r="E97" s="40" t="s">
        <v>36</v>
      </c>
      <c r="F97" s="41" t="s">
        <v>36</v>
      </c>
      <c r="G97" s="41" t="s">
        <v>36</v>
      </c>
      <c r="H97" s="42" t="s">
        <v>36</v>
      </c>
      <c r="I97" s="66"/>
      <c r="J97" s="44"/>
      <c r="K97" s="45" t="s">
        <v>36</v>
      </c>
      <c r="L97" s="47" t="s">
        <v>36</v>
      </c>
      <c r="M97" s="47" t="s">
        <v>36</v>
      </c>
      <c r="N97" s="48" t="s">
        <v>36</v>
      </c>
      <c r="O97" s="49"/>
      <c r="P97" s="49"/>
      <c r="Q97" s="50">
        <v>0</v>
      </c>
      <c r="R97" s="51" t="s">
        <v>36</v>
      </c>
      <c r="S97" s="61" t="e">
        <v>#VALUE!</v>
      </c>
      <c r="T97" s="53" t="s">
        <v>36</v>
      </c>
      <c r="U97" s="54" t="s">
        <v>36</v>
      </c>
      <c r="V97" s="54" t="s">
        <v>36</v>
      </c>
      <c r="W97" s="54" t="s">
        <v>36</v>
      </c>
      <c r="X97" s="55" t="s">
        <v>36</v>
      </c>
      <c r="Y97" s="1"/>
      <c r="Z97" s="1"/>
      <c r="AA97" s="5">
        <v>0</v>
      </c>
      <c r="AB97" s="56"/>
      <c r="AC97" s="5"/>
    </row>
    <row r="98" spans="1:29" ht="12.75" hidden="1" customHeight="1" x14ac:dyDescent="0.35">
      <c r="A98" s="38" t="s">
        <v>35</v>
      </c>
      <c r="B98" s="68"/>
      <c r="C98" s="39" t="s">
        <v>36</v>
      </c>
      <c r="D98" s="39">
        <v>6</v>
      </c>
      <c r="E98" s="40" t="s">
        <v>36</v>
      </c>
      <c r="F98" s="41" t="s">
        <v>36</v>
      </c>
      <c r="G98" s="41" t="s">
        <v>36</v>
      </c>
      <c r="H98" s="42" t="s">
        <v>36</v>
      </c>
      <c r="I98" s="66"/>
      <c r="J98" s="44"/>
      <c r="K98" s="45" t="s">
        <v>36</v>
      </c>
      <c r="L98" s="47" t="s">
        <v>36</v>
      </c>
      <c r="M98" s="47" t="s">
        <v>36</v>
      </c>
      <c r="N98" s="48" t="s">
        <v>36</v>
      </c>
      <c r="O98" s="49"/>
      <c r="P98" s="58"/>
      <c r="Q98" s="50">
        <v>0</v>
      </c>
      <c r="R98" s="51" t="s">
        <v>36</v>
      </c>
      <c r="S98" s="61" t="e">
        <v>#VALUE!</v>
      </c>
      <c r="T98" s="53" t="s">
        <v>36</v>
      </c>
      <c r="U98" s="54" t="s">
        <v>36</v>
      </c>
      <c r="V98" s="54" t="s">
        <v>36</v>
      </c>
      <c r="W98" s="54" t="s">
        <v>36</v>
      </c>
      <c r="X98" s="55" t="s">
        <v>36</v>
      </c>
      <c r="Y98" s="1"/>
      <c r="Z98" s="1"/>
      <c r="AA98" s="5">
        <v>0</v>
      </c>
      <c r="AB98" s="56"/>
      <c r="AC98" s="5"/>
    </row>
    <row r="99" spans="1:29" ht="12.75" hidden="1" customHeight="1" x14ac:dyDescent="0.35">
      <c r="A99" s="38" t="s">
        <v>35</v>
      </c>
      <c r="B99" s="68"/>
      <c r="C99" s="39" t="s">
        <v>36</v>
      </c>
      <c r="D99" s="39">
        <v>6</v>
      </c>
      <c r="E99" s="40" t="s">
        <v>36</v>
      </c>
      <c r="F99" s="41" t="s">
        <v>36</v>
      </c>
      <c r="G99" s="41" t="s">
        <v>36</v>
      </c>
      <c r="H99" s="42" t="s">
        <v>36</v>
      </c>
      <c r="I99" s="66"/>
      <c r="J99" s="44"/>
      <c r="K99" s="45" t="s">
        <v>36</v>
      </c>
      <c r="L99" s="69" t="s">
        <v>36</v>
      </c>
      <c r="M99" s="69" t="s">
        <v>36</v>
      </c>
      <c r="N99" s="48" t="s">
        <v>36</v>
      </c>
      <c r="O99" s="49"/>
      <c r="P99" s="49"/>
      <c r="Q99" s="50">
        <v>0</v>
      </c>
      <c r="R99" s="51" t="s">
        <v>36</v>
      </c>
      <c r="S99" s="61" t="e">
        <v>#VALUE!</v>
      </c>
      <c r="T99" s="53" t="s">
        <v>36</v>
      </c>
      <c r="U99" s="54" t="s">
        <v>36</v>
      </c>
      <c r="V99" s="54" t="s">
        <v>36</v>
      </c>
      <c r="W99" s="54" t="s">
        <v>36</v>
      </c>
      <c r="X99" s="55" t="s">
        <v>36</v>
      </c>
      <c r="Y99" s="1"/>
      <c r="Z99" s="1"/>
      <c r="AA99" s="5">
        <v>0</v>
      </c>
      <c r="AB99" s="56"/>
      <c r="AC99" s="5"/>
    </row>
    <row r="100" spans="1:29" ht="12" customHeight="1" x14ac:dyDescent="0.35">
      <c r="A100" s="38"/>
      <c r="B100" s="68"/>
      <c r="C100" s="39" t="s">
        <v>36</v>
      </c>
      <c r="D100" s="70"/>
      <c r="E100" s="40" t="s">
        <v>36</v>
      </c>
      <c r="F100" s="41" t="s">
        <v>36</v>
      </c>
      <c r="G100" s="41" t="s">
        <v>36</v>
      </c>
      <c r="H100" s="42" t="s">
        <v>36</v>
      </c>
      <c r="I100" s="71"/>
      <c r="J100" s="44"/>
      <c r="K100" s="45" t="s">
        <v>36</v>
      </c>
      <c r="L100" s="69" t="s">
        <v>36</v>
      </c>
      <c r="M100" s="69" t="s">
        <v>36</v>
      </c>
      <c r="N100" s="48" t="s">
        <v>36</v>
      </c>
      <c r="O100" s="49">
        <v>21153</v>
      </c>
      <c r="P100" s="49">
        <v>0</v>
      </c>
      <c r="Q100" s="50">
        <v>21153</v>
      </c>
      <c r="R100" s="51" t="s">
        <v>36</v>
      </c>
      <c r="S100" s="61" t="e">
        <v>#VALUE!</v>
      </c>
      <c r="T100" s="53" t="s">
        <v>36</v>
      </c>
      <c r="U100" s="54" t="s">
        <v>36</v>
      </c>
      <c r="V100" s="54" t="s">
        <v>36</v>
      </c>
      <c r="W100" s="54" t="s">
        <v>36</v>
      </c>
      <c r="X100" s="55" t="s">
        <v>36</v>
      </c>
      <c r="Y100" s="1"/>
      <c r="Z100" s="1"/>
      <c r="AA100" s="5">
        <v>0</v>
      </c>
      <c r="AB100" s="56">
        <v>0</v>
      </c>
      <c r="AC100" s="5">
        <v>0</v>
      </c>
    </row>
    <row r="101" spans="1:29" ht="12" customHeight="1" x14ac:dyDescent="0.35">
      <c r="A101" s="38"/>
      <c r="B101" s="68"/>
      <c r="C101" s="39" t="s">
        <v>36</v>
      </c>
      <c r="D101" s="70"/>
      <c r="E101" s="40" t="s">
        <v>36</v>
      </c>
      <c r="F101" s="41" t="s">
        <v>36</v>
      </c>
      <c r="G101" s="41" t="s">
        <v>36</v>
      </c>
      <c r="H101" s="42" t="s">
        <v>36</v>
      </c>
      <c r="I101" s="71"/>
      <c r="J101" s="44"/>
      <c r="K101" s="45" t="s">
        <v>36</v>
      </c>
      <c r="L101" s="69" t="s">
        <v>36</v>
      </c>
      <c r="M101" s="69" t="s">
        <v>36</v>
      </c>
      <c r="N101" s="48" t="s">
        <v>36</v>
      </c>
      <c r="O101" s="49"/>
      <c r="P101" s="58">
        <v>0</v>
      </c>
      <c r="Q101" s="72"/>
      <c r="R101" s="51" t="s">
        <v>36</v>
      </c>
      <c r="S101" s="52"/>
      <c r="T101" s="73"/>
      <c r="U101" s="54" t="s">
        <v>36</v>
      </c>
      <c r="V101" s="54" t="s">
        <v>36</v>
      </c>
      <c r="W101" s="54" t="s">
        <v>36</v>
      </c>
      <c r="X101" s="55" t="s">
        <v>36</v>
      </c>
      <c r="Y101" s="1"/>
      <c r="Z101" s="1"/>
      <c r="AA101" s="5">
        <v>0</v>
      </c>
      <c r="AB101" s="56">
        <v>0</v>
      </c>
      <c r="AC101" s="5">
        <v>0</v>
      </c>
    </row>
    <row r="102" spans="1:29" ht="13.5" customHeight="1" x14ac:dyDescent="0.35">
      <c r="A102" s="74"/>
      <c r="B102" s="74"/>
      <c r="C102" s="75"/>
      <c r="D102" s="75"/>
      <c r="E102" s="74"/>
      <c r="F102" s="74"/>
      <c r="G102" s="74"/>
      <c r="H102" s="76"/>
      <c r="I102" s="76"/>
      <c r="J102" s="77"/>
      <c r="K102" s="78"/>
      <c r="L102" s="77"/>
      <c r="M102" s="77"/>
      <c r="N102" s="77"/>
      <c r="O102" s="79"/>
      <c r="P102" s="79"/>
      <c r="Q102" s="50"/>
      <c r="R102" s="51" t="s">
        <v>36</v>
      </c>
      <c r="S102" s="80"/>
      <c r="T102" s="77"/>
      <c r="U102" s="1"/>
      <c r="V102" s="1"/>
      <c r="W102" s="1"/>
      <c r="X102" s="1"/>
      <c r="Y102" s="1"/>
      <c r="Z102" s="1"/>
      <c r="AA102" s="5">
        <v>0</v>
      </c>
      <c r="AB102" s="56">
        <v>0</v>
      </c>
      <c r="AC102" s="5">
        <v>0</v>
      </c>
    </row>
    <row r="103" spans="1:29" ht="15.5" x14ac:dyDescent="0.35">
      <c r="A103" s="74"/>
      <c r="B103" s="74"/>
      <c r="C103" s="75"/>
      <c r="D103" s="75"/>
      <c r="E103" s="74"/>
      <c r="F103" s="74"/>
      <c r="G103" s="74"/>
      <c r="H103" s="74"/>
      <c r="I103" s="74"/>
      <c r="J103" s="74"/>
      <c r="K103" s="81"/>
      <c r="L103" s="77"/>
      <c r="M103" s="77"/>
      <c r="N103" s="77"/>
      <c r="O103" s="82" t="s">
        <v>37</v>
      </c>
      <c r="P103" s="83">
        <v>0</v>
      </c>
      <c r="Q103" s="50"/>
      <c r="R103" s="51" t="s">
        <v>36</v>
      </c>
      <c r="S103" s="74"/>
      <c r="T103" s="74"/>
      <c r="U103" s="3"/>
      <c r="V103" s="1"/>
      <c r="W103" s="1"/>
      <c r="X103" s="1"/>
      <c r="Y103" s="1"/>
      <c r="Z103" s="1"/>
      <c r="AA103" s="5">
        <v>0</v>
      </c>
      <c r="AB103" s="56">
        <v>0</v>
      </c>
      <c r="AC103" s="5">
        <v>0</v>
      </c>
    </row>
    <row r="104" spans="1:29" ht="15.5" x14ac:dyDescent="0.35">
      <c r="A104" s="74"/>
      <c r="B104" s="74"/>
      <c r="C104" s="75"/>
      <c r="D104" s="75"/>
      <c r="E104" s="74"/>
      <c r="F104" s="74"/>
      <c r="G104" s="74"/>
      <c r="H104" s="74"/>
      <c r="I104" s="74"/>
      <c r="J104" s="74"/>
      <c r="K104" s="81"/>
      <c r="L104" s="69" t="s">
        <v>38</v>
      </c>
      <c r="M104" s="69">
        <v>21153</v>
      </c>
      <c r="N104" s="77"/>
      <c r="O104" s="84" t="s">
        <v>39</v>
      </c>
      <c r="P104" s="50">
        <v>0</v>
      </c>
      <c r="Q104" s="82"/>
      <c r="R104" s="74"/>
      <c r="S104" s="74"/>
      <c r="T104" s="74"/>
      <c r="U104" s="1"/>
      <c r="V104" s="1"/>
      <c r="W104" s="1"/>
      <c r="X104" s="1"/>
      <c r="Y104" s="1"/>
      <c r="Z104" s="1"/>
      <c r="AA104" s="5"/>
      <c r="AB104" s="56"/>
      <c r="AC104" s="5"/>
    </row>
    <row r="105" spans="1:29" ht="15.5" x14ac:dyDescent="0.35">
      <c r="A105" s="74"/>
      <c r="B105" s="74"/>
      <c r="C105" s="75"/>
      <c r="D105" s="75"/>
      <c r="E105" s="74"/>
      <c r="F105" s="74"/>
      <c r="G105" s="74"/>
      <c r="H105" s="74"/>
      <c r="I105" s="74"/>
      <c r="J105" s="74"/>
      <c r="K105" s="85"/>
      <c r="L105" s="86" t="s">
        <v>40</v>
      </c>
      <c r="M105" s="87">
        <v>12</v>
      </c>
      <c r="N105" s="74"/>
      <c r="O105" s="82"/>
      <c r="P105" s="82"/>
      <c r="Q105" s="82"/>
      <c r="R105" s="74"/>
      <c r="S105" s="74"/>
      <c r="T105" s="74"/>
      <c r="U105" s="1"/>
      <c r="V105" s="1"/>
      <c r="W105" s="1"/>
      <c r="X105" s="1"/>
      <c r="Y105" s="1"/>
      <c r="Z105" s="1"/>
      <c r="AA105" s="5"/>
      <c r="AB105" s="56"/>
      <c r="AC105" s="5"/>
    </row>
    <row r="106" spans="1:29" ht="12.5" x14ac:dyDescent="0.25">
      <c r="A106" s="1"/>
      <c r="C106" s="2"/>
      <c r="D106" s="2"/>
      <c r="E106" s="1"/>
      <c r="F106" s="1"/>
      <c r="G106" s="1"/>
      <c r="H106" s="1"/>
      <c r="I106" s="1"/>
      <c r="J106" s="3"/>
      <c r="K106" s="3"/>
      <c r="L106" s="3"/>
      <c r="M106" s="4"/>
      <c r="N106" s="88" t="s">
        <v>18</v>
      </c>
      <c r="O106" s="89">
        <v>0</v>
      </c>
      <c r="P106" s="89" t="e">
        <v>#DIV/0!</v>
      </c>
      <c r="Q106" s="5"/>
      <c r="R106" s="1"/>
      <c r="S106" s="1"/>
      <c r="T106" s="3"/>
      <c r="U106" s="1"/>
      <c r="V106" s="1"/>
      <c r="W106" s="1"/>
      <c r="X106" s="1"/>
      <c r="Y106" s="1"/>
      <c r="Z106" s="1"/>
      <c r="AA106" s="5"/>
      <c r="AB106" s="1"/>
      <c r="AC106" s="5"/>
    </row>
    <row r="107" spans="1:29" ht="13" x14ac:dyDescent="0.3">
      <c r="A107" s="1"/>
      <c r="C107" s="2"/>
      <c r="D107" s="2"/>
      <c r="E107" s="1"/>
      <c r="F107" s="1"/>
      <c r="G107" s="1"/>
      <c r="H107" s="1"/>
      <c r="I107" s="1"/>
      <c r="J107" s="3"/>
      <c r="K107" s="3"/>
      <c r="L107" s="3"/>
      <c r="M107" s="4"/>
      <c r="N107" s="90"/>
      <c r="O107" s="5"/>
      <c r="P107" s="5"/>
      <c r="Q107" s="5"/>
      <c r="R107" s="1"/>
      <c r="S107" s="1"/>
      <c r="T107" s="3"/>
      <c r="U107" s="1"/>
      <c r="V107" s="1"/>
      <c r="W107" s="1"/>
      <c r="X107" s="1"/>
      <c r="Y107" s="1"/>
      <c r="Z107" s="1"/>
      <c r="AA107" s="5"/>
      <c r="AB107" s="1"/>
      <c r="AC107" s="91"/>
    </row>
    <row r="108" spans="1:29" ht="13" x14ac:dyDescent="0.3">
      <c r="A108" s="1"/>
      <c r="C108" s="2"/>
      <c r="D108" s="2"/>
      <c r="E108" s="1"/>
      <c r="F108" s="1"/>
      <c r="G108" s="1"/>
      <c r="H108" s="1"/>
      <c r="I108" s="1"/>
      <c r="J108" s="3"/>
      <c r="K108" s="3"/>
      <c r="L108" s="36"/>
      <c r="M108" s="36"/>
      <c r="N108" s="90"/>
      <c r="O108" s="5"/>
      <c r="P108" s="5"/>
      <c r="Q108" s="5"/>
      <c r="R108" s="1"/>
      <c r="S108" s="1"/>
      <c r="T108" s="3"/>
      <c r="U108" s="1"/>
      <c r="V108" s="1"/>
      <c r="W108" s="1"/>
      <c r="X108" s="1"/>
      <c r="Y108" s="1"/>
      <c r="Z108" s="1"/>
      <c r="AA108" s="5"/>
      <c r="AB108" s="1"/>
      <c r="AC108" s="5"/>
    </row>
    <row r="109" spans="1:29" ht="13" x14ac:dyDescent="0.3">
      <c r="A109" s="1"/>
      <c r="C109" s="2"/>
      <c r="D109" s="2"/>
      <c r="E109" s="1"/>
      <c r="F109" s="1"/>
      <c r="G109" s="1"/>
      <c r="H109" s="1"/>
      <c r="I109" s="1"/>
      <c r="J109" s="3"/>
      <c r="K109" s="3"/>
      <c r="L109" s="3"/>
      <c r="M109" s="4"/>
      <c r="N109" s="90" t="s">
        <v>41</v>
      </c>
      <c r="O109" s="92">
        <v>0</v>
      </c>
      <c r="P109" s="92" t="e">
        <v>#DIV/0!</v>
      </c>
      <c r="Q109" s="5"/>
      <c r="R109" s="1"/>
      <c r="S109" s="1"/>
      <c r="T109" s="3"/>
      <c r="U109" s="1"/>
      <c r="V109" s="1"/>
      <c r="W109" s="1"/>
      <c r="X109" s="1"/>
      <c r="Y109" s="1"/>
      <c r="Z109" s="1"/>
      <c r="AA109" s="5"/>
      <c r="AB109" s="1"/>
      <c r="AC109" s="5"/>
    </row>
    <row r="110" spans="1:29" ht="13" x14ac:dyDescent="0.3">
      <c r="A110" s="1"/>
      <c r="C110" s="2"/>
      <c r="D110" s="2"/>
      <c r="E110" s="1"/>
      <c r="F110" s="1"/>
      <c r="G110" s="1"/>
      <c r="H110" s="1"/>
      <c r="I110" s="1"/>
      <c r="J110" s="3"/>
      <c r="K110" s="3"/>
      <c r="L110" s="3"/>
      <c r="M110" s="4"/>
      <c r="N110" s="90" t="s">
        <v>42</v>
      </c>
      <c r="O110" s="92">
        <v>0</v>
      </c>
      <c r="P110" s="92" t="e">
        <v>#DIV/0!</v>
      </c>
      <c r="Q110" s="5"/>
      <c r="R110" s="1"/>
      <c r="S110" s="1"/>
      <c r="T110" s="3"/>
      <c r="U110" s="1"/>
      <c r="V110" s="1"/>
      <c r="W110" s="1"/>
      <c r="X110" s="1"/>
      <c r="Y110" s="1"/>
      <c r="Z110" s="1"/>
      <c r="AA110" s="5"/>
      <c r="AB110" s="1"/>
      <c r="AC110" s="5"/>
    </row>
    <row r="111" spans="1:29" ht="13" x14ac:dyDescent="0.3">
      <c r="A111" s="1"/>
      <c r="C111" s="2"/>
      <c r="D111" s="2"/>
      <c r="E111" s="1"/>
      <c r="F111" s="1"/>
      <c r="G111" s="1"/>
      <c r="H111" s="1"/>
      <c r="I111" s="1"/>
      <c r="J111" s="3"/>
      <c r="K111" s="3"/>
      <c r="L111" s="3"/>
      <c r="M111" s="4"/>
      <c r="N111" s="90" t="s">
        <v>43</v>
      </c>
      <c r="O111" s="92">
        <v>0</v>
      </c>
      <c r="P111" s="92" t="e">
        <v>#DIV/0!</v>
      </c>
      <c r="Q111" s="5"/>
      <c r="R111" s="1"/>
      <c r="S111" s="1"/>
      <c r="T111" s="3"/>
      <c r="U111" s="1"/>
      <c r="V111" s="1"/>
      <c r="W111" s="1"/>
      <c r="X111" s="1"/>
      <c r="Y111" s="1"/>
      <c r="Z111" s="1"/>
      <c r="AA111" s="5"/>
      <c r="AB111" s="1"/>
      <c r="AC111" s="5"/>
    </row>
    <row r="112" spans="1:29" ht="12.75" customHeight="1" x14ac:dyDescent="0.3">
      <c r="N112" s="90" t="s">
        <v>44</v>
      </c>
      <c r="O112" s="92">
        <v>0</v>
      </c>
      <c r="P112" s="92" t="e">
        <v>#DIV/0!</v>
      </c>
    </row>
    <row r="113" spans="14:16" ht="12.75" customHeight="1" x14ac:dyDescent="0.3">
      <c r="N113" s="90" t="s">
        <v>45</v>
      </c>
      <c r="O113" s="92" t="e">
        <v>#DIV/0!</v>
      </c>
      <c r="P113" s="92" t="e">
        <v>#DIV/0!</v>
      </c>
    </row>
    <row r="114" spans="14:16" ht="12.75" customHeight="1" x14ac:dyDescent="0.3">
      <c r="N114" s="90" t="s">
        <v>46</v>
      </c>
      <c r="O114" s="92">
        <v>0</v>
      </c>
      <c r="P114" s="92" t="e">
        <v>#DIV/0!</v>
      </c>
    </row>
  </sheetData>
  <mergeCells count="3">
    <mergeCell ref="C2:K5"/>
    <mergeCell ref="L2:T3"/>
    <mergeCell ref="L4:T5"/>
  </mergeCells>
  <conditionalFormatting sqref="B1:B1048576">
    <cfRule type="duplicateValues" dxfId="0" priority="1"/>
  </conditionalFormatting>
  <printOptions horizontalCentered="1"/>
  <pageMargins left="0.35433070866141736" right="0.35433070866141736" top="0" bottom="0" header="0" footer="0"/>
  <pageSetup paperSize="9" scale="60" orientation="landscape" blackAndWhite="1" horizontalDpi="300" verticalDpi="300" r:id="rId1"/>
  <headerFooter alignWithMargins="0">
    <oddFooter>&amp;R&amp;"Calibri"&amp;11&amp;K000000&amp;"Calibri"&amp;11&amp;K000000&amp;"Calibri"&amp;11&amp;K000000&amp;"Arial,Negrito"&amp;12NBP 600/5_x000D_&amp;1#&amp;"Aptos"&amp;10&amp;KFF0000 Internal Information | Sigma in Europe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31A5-3BFC-47D0-8593-7FFD4650FAD0}">
  <sheetPr>
    <pageSetUpPr fitToPage="1"/>
  </sheetPr>
  <dimension ref="A1:F137"/>
  <sheetViews>
    <sheetView topLeftCell="A49" workbookViewId="0">
      <selection activeCell="J92" sqref="J92"/>
    </sheetView>
  </sheetViews>
  <sheetFormatPr defaultColWidth="10.26953125" defaultRowHeight="12.75" customHeight="1" x14ac:dyDescent="0.25"/>
  <cols>
    <col min="1" max="1" width="13" style="6" customWidth="1"/>
    <col min="2" max="2" width="44.1796875" style="6" bestFit="1" customWidth="1"/>
    <col min="3" max="3" width="14.81640625" style="6" bestFit="1" customWidth="1"/>
    <col min="4" max="4" width="13.81640625" style="6" bestFit="1" customWidth="1"/>
    <col min="5" max="5" width="15.7265625" style="6" bestFit="1" customWidth="1"/>
    <col min="6" max="6" width="16.7265625" style="6" customWidth="1"/>
    <col min="7" max="8" width="10.26953125" style="6" customWidth="1"/>
    <col min="9" max="16384" width="10.26953125" style="6"/>
  </cols>
  <sheetData>
    <row r="1" spans="1:6" ht="37.5" customHeight="1" x14ac:dyDescent="0.25">
      <c r="A1" s="135" t="s">
        <v>47</v>
      </c>
      <c r="B1" s="136"/>
      <c r="C1" s="136"/>
      <c r="D1" s="136"/>
      <c r="E1" s="136"/>
      <c r="F1" s="23" t="s">
        <v>48</v>
      </c>
    </row>
    <row r="2" spans="1:6" ht="7.5" customHeight="1" x14ac:dyDescent="0.25">
      <c r="A2" s="1"/>
      <c r="B2" s="1"/>
      <c r="C2" s="93"/>
      <c r="D2" s="1"/>
      <c r="E2" s="1"/>
      <c r="F2" s="1"/>
    </row>
    <row r="3" spans="1:6" ht="13" x14ac:dyDescent="0.3">
      <c r="A3" s="18" t="s">
        <v>49</v>
      </c>
      <c r="B3" s="94">
        <f>'5ªfeira'!J7</f>
        <v>46114</v>
      </c>
      <c r="C3" s="1"/>
      <c r="D3" s="1"/>
      <c r="E3" s="1"/>
      <c r="F3" s="1"/>
    </row>
    <row r="4" spans="1:6" ht="15.5" x14ac:dyDescent="0.35">
      <c r="A4" s="95"/>
      <c r="B4" s="94" t="str">
        <f>'5ªfeira'!B9</f>
        <v>CÓDIGO</v>
      </c>
      <c r="C4" s="96"/>
      <c r="D4" s="3"/>
      <c r="E4" s="3"/>
      <c r="F4" s="3"/>
    </row>
    <row r="5" spans="1:6" ht="15.5" x14ac:dyDescent="0.35">
      <c r="A5" s="95"/>
      <c r="B5" s="94"/>
      <c r="C5" s="95"/>
      <c r="D5" s="77"/>
      <c r="E5" s="3"/>
      <c r="F5" s="3"/>
    </row>
    <row r="6" spans="1:6" ht="15.5" x14ac:dyDescent="0.35">
      <c r="A6" s="1"/>
      <c r="B6" s="1"/>
      <c r="C6" s="95"/>
      <c r="D6" s="97"/>
      <c r="E6" s="3"/>
      <c r="F6" s="3"/>
    </row>
    <row r="7" spans="1:6" ht="13" x14ac:dyDescent="0.3">
      <c r="A7" s="90" t="s">
        <v>50</v>
      </c>
      <c r="B7" s="1"/>
      <c r="C7" s="1"/>
      <c r="D7" s="1"/>
      <c r="E7" s="1"/>
      <c r="F7" s="1"/>
    </row>
    <row r="8" spans="1:6" ht="12.5" x14ac:dyDescent="0.25">
      <c r="A8" s="1"/>
      <c r="B8" s="1"/>
      <c r="C8" s="1"/>
      <c r="D8" s="1"/>
      <c r="E8" s="1"/>
      <c r="F8" s="1"/>
    </row>
    <row r="9" spans="1:6" ht="12.75" customHeight="1" x14ac:dyDescent="0.25">
      <c r="A9" s="133" t="s">
        <v>4</v>
      </c>
      <c r="B9" s="133" t="s">
        <v>51</v>
      </c>
      <c r="C9" s="134" t="s">
        <v>52</v>
      </c>
      <c r="D9" s="134" t="s">
        <v>53</v>
      </c>
      <c r="E9" s="134" t="s">
        <v>54</v>
      </c>
      <c r="F9" s="134" t="s">
        <v>55</v>
      </c>
    </row>
    <row r="10" spans="1:6" ht="12.75" customHeight="1" x14ac:dyDescent="0.25">
      <c r="A10" s="133"/>
      <c r="B10" s="133"/>
      <c r="C10" s="134"/>
      <c r="D10" s="134"/>
      <c r="E10" s="134"/>
      <c r="F10" s="134"/>
    </row>
    <row r="11" spans="1:6" ht="15.5" x14ac:dyDescent="0.35">
      <c r="A11" s="98">
        <v>1904002</v>
      </c>
      <c r="B11" s="99" t="s">
        <v>56</v>
      </c>
      <c r="C11" s="100">
        <f ca="1">SUMIF('5ªfeira'!$E$11:$K$117,A11,'5ªfeira'!$K$11:$K$109)</f>
        <v>0</v>
      </c>
      <c r="D11" s="100">
        <f t="shared" ref="D11:D24" ca="1" si="0">INT(C11/432)</f>
        <v>0</v>
      </c>
      <c r="E11" s="100">
        <f t="shared" ref="E11:E24" ca="1" si="1">(((C11/432)-D11)*25)</f>
        <v>0</v>
      </c>
      <c r="F11" s="101" t="s">
        <v>57</v>
      </c>
    </row>
    <row r="12" spans="1:6" ht="15.5" x14ac:dyDescent="0.35">
      <c r="A12" s="102">
        <v>1904003</v>
      </c>
      <c r="B12" s="103" t="s">
        <v>58</v>
      </c>
      <c r="C12" s="100">
        <f ca="1">SUMIF('5ªfeira'!$E$11:$K$117,A12,'5ªfeira'!$K$11:$K$109)</f>
        <v>0</v>
      </c>
      <c r="D12" s="100">
        <f t="shared" ca="1" si="0"/>
        <v>0</v>
      </c>
      <c r="E12" s="100">
        <f t="shared" ca="1" si="1"/>
        <v>0</v>
      </c>
      <c r="F12" s="100"/>
    </row>
    <row r="13" spans="1:6" ht="15.5" x14ac:dyDescent="0.35">
      <c r="A13" s="104">
        <v>1904004</v>
      </c>
      <c r="B13" s="105" t="s">
        <v>59</v>
      </c>
      <c r="C13" s="100">
        <f ca="1">SUMIF('5ªfeira'!$E$11:$K$117,A13,'5ªfeira'!$K$11:$K$109)</f>
        <v>0</v>
      </c>
      <c r="D13" s="100">
        <f t="shared" ca="1" si="0"/>
        <v>0</v>
      </c>
      <c r="E13" s="100">
        <f t="shared" ca="1" si="1"/>
        <v>0</v>
      </c>
      <c r="F13" s="101"/>
    </row>
    <row r="14" spans="1:6" ht="15.5" x14ac:dyDescent="0.35">
      <c r="A14" s="104">
        <v>1901167</v>
      </c>
      <c r="B14" s="105" t="s">
        <v>60</v>
      </c>
      <c r="C14" s="100">
        <f ca="1">SUMIF('5ªfeira'!$E$11:$K$117,A14,'5ªfeira'!$K$11:$K$109)</f>
        <v>1814.2628686223306</v>
      </c>
      <c r="D14" s="100">
        <f t="shared" ca="1" si="0"/>
        <v>4</v>
      </c>
      <c r="E14" s="100">
        <f t="shared" ca="1" si="1"/>
        <v>4.9920641563848678</v>
      </c>
      <c r="F14" s="101"/>
    </row>
    <row r="15" spans="1:6" ht="15.5" x14ac:dyDescent="0.35">
      <c r="A15" s="104">
        <v>1901482</v>
      </c>
      <c r="B15" s="99" t="s">
        <v>61</v>
      </c>
      <c r="C15" s="100">
        <f ca="1">SUMIF('5ªfeira'!$E$11:$K$117,A15,'5ªfeira'!$K$11:$K$109)</f>
        <v>0</v>
      </c>
      <c r="D15" s="100">
        <f t="shared" ca="1" si="0"/>
        <v>0</v>
      </c>
      <c r="E15" s="100">
        <f t="shared" ca="1" si="1"/>
        <v>0</v>
      </c>
      <c r="F15" s="101"/>
    </row>
    <row r="16" spans="1:6" ht="15.5" x14ac:dyDescent="0.35">
      <c r="A16" s="104">
        <v>1903048</v>
      </c>
      <c r="B16" s="106" t="s">
        <v>62</v>
      </c>
      <c r="C16" s="100">
        <f ca="1">SUMIF('5ªfeira'!$E$11:$K$117,A16,'5ªfeira'!$K$11:$K$109)</f>
        <v>0</v>
      </c>
      <c r="D16" s="100">
        <f t="shared" ca="1" si="0"/>
        <v>0</v>
      </c>
      <c r="E16" s="100">
        <f t="shared" ca="1" si="1"/>
        <v>0</v>
      </c>
      <c r="F16" s="101"/>
    </row>
    <row r="17" spans="1:6" ht="15.5" x14ac:dyDescent="0.35">
      <c r="A17" s="104">
        <v>1904349</v>
      </c>
      <c r="B17" s="106" t="s">
        <v>63</v>
      </c>
      <c r="C17" s="100">
        <f ca="1">SUMIF('5ªfeira'!$E$11:$K$117,A17,'5ªfeira'!$K$11:$K$109)</f>
        <v>2946.3262336287862</v>
      </c>
      <c r="D17" s="100">
        <f t="shared" ca="1" si="0"/>
        <v>6</v>
      </c>
      <c r="E17" s="100">
        <f t="shared" ca="1" si="1"/>
        <v>20.504990372036236</v>
      </c>
      <c r="F17" s="101"/>
    </row>
    <row r="18" spans="1:6" ht="15.5" x14ac:dyDescent="0.35">
      <c r="A18" s="104">
        <v>1907179</v>
      </c>
      <c r="B18" s="106" t="s">
        <v>64</v>
      </c>
      <c r="C18" s="100">
        <f ca="1">SUMIF('5ªfeira'!$E$11:$K$117,A18,'5ªfeira'!$K$11:$K$109)</f>
        <v>0</v>
      </c>
      <c r="D18" s="100">
        <f t="shared" ca="1" si="0"/>
        <v>0</v>
      </c>
      <c r="E18" s="100">
        <f t="shared" ca="1" si="1"/>
        <v>0</v>
      </c>
      <c r="F18" s="101"/>
    </row>
    <row r="19" spans="1:6" ht="15.5" x14ac:dyDescent="0.35">
      <c r="A19" s="104">
        <v>1905278</v>
      </c>
      <c r="B19" s="106" t="s">
        <v>65</v>
      </c>
      <c r="C19" s="100">
        <f ca="1">SUMIF('5ªfeira'!$E$11:$K$117,A19,'5ªfeira'!$K$11:$K$109)</f>
        <v>3733.7451928406376</v>
      </c>
      <c r="D19" s="100">
        <f t="shared" ca="1" si="0"/>
        <v>8</v>
      </c>
      <c r="E19" s="100">
        <f t="shared" ca="1" si="1"/>
        <v>16.073217178277631</v>
      </c>
      <c r="F19" s="101"/>
    </row>
    <row r="20" spans="1:6" ht="15.5" x14ac:dyDescent="0.35">
      <c r="A20" s="104">
        <v>1905643</v>
      </c>
      <c r="B20" s="106" t="s">
        <v>66</v>
      </c>
      <c r="C20" s="100">
        <f ca="1">SUMIF('5ªfeira'!$E$11:$K$117,A20,'5ªfeira'!$K$11:$K$109)</f>
        <v>2329.6139662415876</v>
      </c>
      <c r="D20" s="100">
        <f t="shared" ca="1" si="0"/>
        <v>5</v>
      </c>
      <c r="E20" s="100">
        <f t="shared" ca="1" si="1"/>
        <v>9.8156230463881666</v>
      </c>
      <c r="F20" s="101"/>
    </row>
    <row r="21" spans="1:6" ht="15.5" x14ac:dyDescent="0.35">
      <c r="A21" s="104">
        <v>1906346</v>
      </c>
      <c r="B21" s="106" t="s">
        <v>67</v>
      </c>
      <c r="C21" s="100">
        <f ca="1">SUMIF('5ªfeira'!$E$11:$K$117,A21,'5ªfeira'!$K$11:$K$109)</f>
        <v>0</v>
      </c>
      <c r="D21" s="100">
        <f t="shared" ca="1" si="0"/>
        <v>0</v>
      </c>
      <c r="E21" s="100">
        <f t="shared" ca="1" si="1"/>
        <v>0</v>
      </c>
      <c r="F21" s="101"/>
    </row>
    <row r="22" spans="1:6" ht="15.5" x14ac:dyDescent="0.35">
      <c r="A22" s="104">
        <v>1907134</v>
      </c>
      <c r="B22" s="106" t="s">
        <v>68</v>
      </c>
      <c r="C22" s="100">
        <f ca="1">SUMIF('5ªfeira'!$E$11:$K$117,A22,'5ªfeira'!$K$11:$K$109)</f>
        <v>450.43973449237188</v>
      </c>
      <c r="D22" s="100">
        <f t="shared" ca="1" si="0"/>
        <v>1</v>
      </c>
      <c r="E22" s="100">
        <f t="shared" ca="1" si="1"/>
        <v>1.067114264604857</v>
      </c>
      <c r="F22" s="101"/>
    </row>
    <row r="23" spans="1:6" ht="15.5" x14ac:dyDescent="0.35">
      <c r="A23" s="104">
        <v>1907444</v>
      </c>
      <c r="B23" s="106" t="s">
        <v>69</v>
      </c>
      <c r="C23" s="100">
        <f ca="1">SUMIF('5ªfeira'!$E$11:$K$117,A23,'5ªfeira'!$K$11:$K$109)</f>
        <v>0</v>
      </c>
      <c r="D23" s="100">
        <f t="shared" ca="1" si="0"/>
        <v>0</v>
      </c>
      <c r="E23" s="100">
        <f t="shared" ca="1" si="1"/>
        <v>0</v>
      </c>
      <c r="F23" s="101"/>
    </row>
    <row r="24" spans="1:6" ht="15.5" x14ac:dyDescent="0.35">
      <c r="A24" s="104">
        <v>1907698</v>
      </c>
      <c r="B24" s="105" t="s">
        <v>70</v>
      </c>
      <c r="C24" s="100">
        <f ca="1">SUMIF('5ªfeira'!$E$11:$K$117,A24,'5ªfeira'!$K$11:$K$109)</f>
        <v>0</v>
      </c>
      <c r="D24" s="100">
        <f t="shared" ca="1" si="0"/>
        <v>0</v>
      </c>
      <c r="E24" s="100">
        <f t="shared" ca="1" si="1"/>
        <v>0</v>
      </c>
      <c r="F24" s="101"/>
    </row>
    <row r="25" spans="1:6" ht="15.5" x14ac:dyDescent="0.35">
      <c r="A25" s="107"/>
      <c r="B25" s="95"/>
      <c r="C25" s="96"/>
      <c r="D25" s="96"/>
      <c r="E25" s="96"/>
      <c r="F25" s="108"/>
    </row>
    <row r="26" spans="1:6" ht="15.5" x14ac:dyDescent="0.35">
      <c r="A26" s="102">
        <v>1901152</v>
      </c>
      <c r="B26" s="103" t="s">
        <v>71</v>
      </c>
      <c r="C26" s="100">
        <f ca="1">SUMIF('5ªfeira'!$E$11:$K$117,A26,'5ªfeira'!$K$11:$K$109)</f>
        <v>159.91471215351814</v>
      </c>
      <c r="D26" s="100">
        <f ca="1">INT(C26/432)</f>
        <v>0</v>
      </c>
      <c r="E26" s="100">
        <f ca="1">(((C26/432)-D26)*25)</f>
        <v>9.2543236199952617</v>
      </c>
      <c r="F26" s="100"/>
    </row>
    <row r="27" spans="1:6" ht="15.5" x14ac:dyDescent="0.35">
      <c r="A27" s="102">
        <v>1901153</v>
      </c>
      <c r="B27" s="103" t="s">
        <v>72</v>
      </c>
      <c r="C27" s="100">
        <f ca="1">SUMIF('5ªfeira'!$E$11:$K$117,A27,'5ªfeira'!$K$11:$K$109)</f>
        <v>0</v>
      </c>
      <c r="D27" s="100">
        <f ca="1">INT(C27/432)</f>
        <v>0</v>
      </c>
      <c r="E27" s="100">
        <f ca="1">(((C27/432)-D27)*25)</f>
        <v>0</v>
      </c>
      <c r="F27" s="100"/>
    </row>
    <row r="28" spans="1:6" ht="15.5" x14ac:dyDescent="0.35">
      <c r="A28" s="102">
        <v>1902009</v>
      </c>
      <c r="B28" s="103" t="s">
        <v>73</v>
      </c>
      <c r="C28" s="100">
        <f ca="1">SUMIF('5ªfeira'!$E$11:$K$117,A28,'5ªfeira'!$K$11:$K$109)</f>
        <v>169.87983141721571</v>
      </c>
      <c r="D28" s="100">
        <f ca="1">INT(C28/432)</f>
        <v>0</v>
      </c>
      <c r="E28" s="100">
        <f ca="1">(((C28/432)-D28)*25)</f>
        <v>9.8310087625703542</v>
      </c>
      <c r="F28" s="100"/>
    </row>
    <row r="29" spans="1:6" ht="15.5" x14ac:dyDescent="0.35">
      <c r="A29" s="1"/>
      <c r="B29" s="1"/>
      <c r="C29" s="74"/>
      <c r="D29" s="96"/>
      <c r="E29" s="74"/>
      <c r="F29" s="74"/>
    </row>
    <row r="30" spans="1:6" ht="15.5" x14ac:dyDescent="0.35">
      <c r="A30" s="102">
        <v>1901158</v>
      </c>
      <c r="B30" s="103" t="s">
        <v>74</v>
      </c>
      <c r="C30" s="100">
        <f ca="1">SUMIF('5ªfeira'!$E$11:$K$117,A30,'5ªfeira'!$K$11:$K$109)</f>
        <v>0</v>
      </c>
      <c r="D30" s="1"/>
      <c r="E30" s="1" t="s">
        <v>75</v>
      </c>
      <c r="F30" s="1"/>
    </row>
    <row r="31" spans="1:6" ht="15.5" x14ac:dyDescent="0.35">
      <c r="A31" s="102">
        <v>1901157</v>
      </c>
      <c r="B31" s="103" t="s">
        <v>76</v>
      </c>
      <c r="C31" s="100">
        <f ca="1">SUMIF('5ªfeira'!$E$11:$K$117,A31,'5ªfeira'!$K$11:$K$109)</f>
        <v>0</v>
      </c>
      <c r="D31" s="1"/>
      <c r="E31" s="1"/>
      <c r="F31" s="1"/>
    </row>
    <row r="32" spans="1:6" ht="15.5" x14ac:dyDescent="0.35">
      <c r="A32" s="102">
        <v>1901149</v>
      </c>
      <c r="B32" s="103" t="s">
        <v>77</v>
      </c>
      <c r="C32" s="100">
        <f ca="1">SUMIF('5ªfeira'!$E$11:$K$117,A32,'5ªfeira'!$K$11:$K$109)</f>
        <v>0</v>
      </c>
      <c r="D32" s="108"/>
      <c r="E32" s="74"/>
      <c r="F32" s="74"/>
    </row>
    <row r="33" spans="1:6" ht="15.5" x14ac:dyDescent="0.35">
      <c r="A33" s="104">
        <v>1901156</v>
      </c>
      <c r="B33" s="105" t="s">
        <v>78</v>
      </c>
      <c r="C33" s="100">
        <f ca="1">SUMIF('5ªfeira'!$E$11:$K$117,A33,'5ªfeira'!$K$11:$K$109)</f>
        <v>3496.7612571541194</v>
      </c>
      <c r="D33" s="108"/>
      <c r="E33" s="74"/>
      <c r="F33" s="74"/>
    </row>
    <row r="34" spans="1:6" ht="15.5" hidden="1" x14ac:dyDescent="0.35">
      <c r="A34" s="104">
        <v>8401</v>
      </c>
      <c r="B34" s="103" t="s">
        <v>79</v>
      </c>
      <c r="C34" s="100">
        <f ca="1">SUMIF('5ªfeira'!$E$11:$K$117,A34,'5ªfeira'!$K$11:$K$109)</f>
        <v>0</v>
      </c>
      <c r="D34" s="96"/>
      <c r="E34" s="74"/>
      <c r="F34" s="74"/>
    </row>
    <row r="35" spans="1:6" ht="15.5" x14ac:dyDescent="0.35">
      <c r="A35" s="1"/>
      <c r="B35" s="1"/>
      <c r="C35" s="74"/>
      <c r="D35" s="96"/>
      <c r="E35" s="74"/>
      <c r="F35" s="74"/>
    </row>
    <row r="36" spans="1:6" ht="15.5" hidden="1" x14ac:dyDescent="0.35">
      <c r="A36" s="102">
        <v>6082</v>
      </c>
      <c r="B36" s="103" t="s">
        <v>80</v>
      </c>
      <c r="C36" s="100">
        <f ca="1">SUMIF('5ªfeira'!$E$11:$K$117,A36,'5ªfeira'!$K$11:$K$109)</f>
        <v>0</v>
      </c>
      <c r="D36" s="96"/>
      <c r="E36" s="74"/>
      <c r="F36" s="74"/>
    </row>
    <row r="37" spans="1:6" ht="15.5" hidden="1" x14ac:dyDescent="0.35">
      <c r="A37" s="109">
        <v>1903201</v>
      </c>
      <c r="B37" s="110" t="s">
        <v>81</v>
      </c>
      <c r="C37" s="100">
        <f ca="1">SUMIF('5ªfeira'!$E$11:$K$117,A37,'5ªfeira'!$K$11:$K$109)</f>
        <v>0</v>
      </c>
      <c r="D37" s="96"/>
      <c r="E37" s="74"/>
      <c r="F37" s="74"/>
    </row>
    <row r="38" spans="1:6" ht="15.5" hidden="1" x14ac:dyDescent="0.35">
      <c r="A38" s="109">
        <v>1903202</v>
      </c>
      <c r="B38" s="110" t="s">
        <v>82</v>
      </c>
      <c r="C38" s="100">
        <f ca="1">SUMIF('5ªfeira'!$E$11:$K$117,A38,'5ªfeira'!$K$11:$K$109)</f>
        <v>0</v>
      </c>
      <c r="D38" s="96"/>
      <c r="E38" s="74"/>
      <c r="F38" s="74"/>
    </row>
    <row r="39" spans="1:6" ht="15.5" hidden="1" x14ac:dyDescent="0.35">
      <c r="A39" s="109">
        <v>1902621</v>
      </c>
      <c r="B39" s="110" t="s">
        <v>83</v>
      </c>
      <c r="C39" s="100">
        <f ca="1">SUMIF('5ªfeira'!$E$11:$K$117,A39,'5ªfeira'!$K$11:$K$109)</f>
        <v>0</v>
      </c>
      <c r="D39" s="96"/>
      <c r="E39" s="74"/>
      <c r="F39" s="74"/>
    </row>
    <row r="40" spans="1:6" ht="15.5" hidden="1" x14ac:dyDescent="0.35">
      <c r="A40" s="109">
        <v>1902840</v>
      </c>
      <c r="B40" s="110" t="s">
        <v>84</v>
      </c>
      <c r="C40" s="100">
        <f ca="1">SUMIF('5ªfeira'!$E$11:$K$117,A40,'5ªfeira'!$K$11:$K$109)</f>
        <v>0</v>
      </c>
      <c r="D40" s="96"/>
      <c r="E40" s="74"/>
      <c r="F40" s="74"/>
    </row>
    <row r="41" spans="1:6" ht="15.5" hidden="1" x14ac:dyDescent="0.35">
      <c r="A41" s="109">
        <v>1902858</v>
      </c>
      <c r="B41" s="110" t="s">
        <v>85</v>
      </c>
      <c r="C41" s="100">
        <f ca="1">SUMIF('5ªfeira'!$E$11:$K$117,A41,'5ªfeira'!$K$11:$K$109)</f>
        <v>0</v>
      </c>
      <c r="D41" s="96"/>
      <c r="E41" s="74"/>
      <c r="F41" s="74"/>
    </row>
    <row r="42" spans="1:6" ht="15.5" hidden="1" x14ac:dyDescent="0.35">
      <c r="A42" s="109">
        <v>1903298</v>
      </c>
      <c r="B42" s="110" t="s">
        <v>86</v>
      </c>
      <c r="C42" s="100">
        <f ca="1">SUMIF('5ªfeira'!$E$11:$K$117,A42,'5ªfeira'!$K$11:$K$109)</f>
        <v>0</v>
      </c>
      <c r="D42" s="96"/>
      <c r="E42" s="74"/>
      <c r="F42" s="74"/>
    </row>
    <row r="43" spans="1:6" ht="15.5" hidden="1" x14ac:dyDescent="0.35">
      <c r="A43" s="109">
        <v>1903659</v>
      </c>
      <c r="B43" s="110" t="s">
        <v>87</v>
      </c>
      <c r="C43" s="100">
        <f ca="1">SUMIF('5ªfeira'!$E$11:$K$117,A43,'5ªfeira'!$K$11:$K$109)</f>
        <v>0</v>
      </c>
      <c r="D43" s="96"/>
      <c r="E43" s="74"/>
      <c r="F43" s="74"/>
    </row>
    <row r="44" spans="1:6" ht="15.5" hidden="1" x14ac:dyDescent="0.35">
      <c r="A44" s="109">
        <v>1903938</v>
      </c>
      <c r="B44" s="110" t="s">
        <v>88</v>
      </c>
      <c r="C44" s="100">
        <f ca="1">SUMIF('5ªfeira'!$E$11:$K$117,A44,'5ªfeira'!$K$11:$K$109)</f>
        <v>0</v>
      </c>
      <c r="D44" s="96"/>
      <c r="E44" s="74"/>
      <c r="F44" s="74"/>
    </row>
    <row r="45" spans="1:6" ht="15.5" x14ac:dyDescent="0.35">
      <c r="A45" s="109">
        <v>1902829</v>
      </c>
      <c r="B45" s="110" t="s">
        <v>89</v>
      </c>
      <c r="C45" s="100">
        <f ca="1">SUMIF('5ªfeira'!$E$11:$K$117,A45,'5ªfeira'!$K$11:$K$109)</f>
        <v>2365.5913978494623</v>
      </c>
      <c r="D45" s="96"/>
      <c r="E45" s="74"/>
      <c r="F45" s="74"/>
    </row>
    <row r="46" spans="1:6" ht="15.5" x14ac:dyDescent="0.35">
      <c r="A46" s="56"/>
      <c r="B46" s="1"/>
      <c r="C46" s="96"/>
      <c r="D46" s="96"/>
      <c r="E46" s="74"/>
      <c r="F46" s="74"/>
    </row>
    <row r="47" spans="1:6" ht="15.5" x14ac:dyDescent="0.35">
      <c r="A47" s="102">
        <v>1907738</v>
      </c>
      <c r="B47" s="103" t="s">
        <v>90</v>
      </c>
      <c r="C47" s="100">
        <f ca="1">SUMIF('5ªfeira'!$E$11:$K$117,A47,'5ªfeira'!$K$11:$K$109)</f>
        <v>0</v>
      </c>
      <c r="D47" s="96"/>
      <c r="E47" s="74"/>
      <c r="F47" s="74"/>
    </row>
    <row r="48" spans="1:6" ht="15.5" x14ac:dyDescent="0.35">
      <c r="A48" s="102">
        <v>1906944</v>
      </c>
      <c r="B48" s="103" t="s">
        <v>91</v>
      </c>
      <c r="C48" s="100">
        <f ca="1">SUMIF('5ªfeira'!$E$11:$K$117,A48,'5ªfeira'!$K$11:$K$109)</f>
        <v>0</v>
      </c>
      <c r="D48" s="96"/>
      <c r="E48" s="74"/>
      <c r="F48" s="74"/>
    </row>
    <row r="49" spans="1:6" ht="15.5" x14ac:dyDescent="0.35">
      <c r="A49" s="102">
        <v>1907760</v>
      </c>
      <c r="B49" s="103" t="s">
        <v>92</v>
      </c>
      <c r="C49" s="100">
        <f ca="1">SUMIF('5ªfeira'!$E$11:$K$117,A49,'5ªfeira'!$K$11:$K$109)</f>
        <v>0</v>
      </c>
      <c r="D49" s="96"/>
      <c r="E49" s="74"/>
      <c r="F49" s="74"/>
    </row>
    <row r="50" spans="1:6" ht="15.5" x14ac:dyDescent="0.35">
      <c r="A50" s="102">
        <v>1901678</v>
      </c>
      <c r="B50" s="103" t="s">
        <v>93</v>
      </c>
      <c r="C50" s="100">
        <f ca="1">SUMIF('5ªfeira'!$E$11:$K$117,A50,'5ªfeira'!$K$11:$K$109)</f>
        <v>627.04196129906416</v>
      </c>
      <c r="D50" s="96"/>
      <c r="E50" s="74"/>
      <c r="F50" s="74"/>
    </row>
    <row r="51" spans="1:6" ht="15.5" x14ac:dyDescent="0.35">
      <c r="A51" s="102">
        <v>1901417</v>
      </c>
      <c r="B51" s="103" t="s">
        <v>94</v>
      </c>
      <c r="C51" s="100">
        <f ca="1">SUMIF('5ªfeira'!$E$11:$K$117,A51,'5ªfeira'!$K$11:$K$109)</f>
        <v>0</v>
      </c>
      <c r="D51" s="96"/>
      <c r="E51" s="74"/>
      <c r="F51" s="74"/>
    </row>
    <row r="52" spans="1:6" ht="15.5" x14ac:dyDescent="0.35">
      <c r="A52" s="102">
        <v>1901414</v>
      </c>
      <c r="B52" s="103" t="s">
        <v>95</v>
      </c>
      <c r="C52" s="100">
        <f ca="1">SUMIF('5ªfeira'!$E$11:$K$117,A52,'5ªfeira'!$K$11:$K$109)</f>
        <v>595.91451587242182</v>
      </c>
      <c r="D52" s="96"/>
      <c r="E52" s="74"/>
      <c r="F52" s="74"/>
    </row>
    <row r="53" spans="1:6" ht="15.5" x14ac:dyDescent="0.35">
      <c r="A53" s="102">
        <v>1901413</v>
      </c>
      <c r="B53" s="103" t="s">
        <v>96</v>
      </c>
      <c r="C53" s="100">
        <f ca="1">SUMIF('5ªfeira'!$E$11:$K$117,A53,'5ªfeira'!$K$11:$K$109)</f>
        <v>0</v>
      </c>
      <c r="D53" s="96"/>
      <c r="E53" s="74"/>
      <c r="F53" s="74"/>
    </row>
    <row r="54" spans="1:6" ht="15.5" x14ac:dyDescent="0.35">
      <c r="A54" s="102">
        <v>1907601</v>
      </c>
      <c r="B54" s="111" t="s">
        <v>97</v>
      </c>
      <c r="C54" s="100">
        <f ca="1">SUMIF('5ªfeira'!$E$11:$K$117,A54,'5ªfeira'!$K$11:$K$109)</f>
        <v>1469.8391523434912</v>
      </c>
      <c r="D54" s="96"/>
      <c r="E54" s="74"/>
      <c r="F54" s="74"/>
    </row>
    <row r="55" spans="1:6" ht="15.5" x14ac:dyDescent="0.35">
      <c r="A55" s="102">
        <v>1907726</v>
      </c>
      <c r="B55" s="103" t="s">
        <v>98</v>
      </c>
      <c r="C55" s="100">
        <f ca="1">SUMIF('5ªfeira'!$E$11:$K$117,A55,'5ªfeira'!$K$11:$K$109)</f>
        <v>0</v>
      </c>
      <c r="D55" s="96"/>
      <c r="E55" s="74"/>
      <c r="F55" s="74"/>
    </row>
    <row r="56" spans="1:6" ht="15.5" hidden="1" x14ac:dyDescent="0.35">
      <c r="A56" s="102">
        <v>1902715</v>
      </c>
      <c r="B56" s="103" t="s">
        <v>99</v>
      </c>
      <c r="C56" s="100">
        <f ca="1">SUMIF('5ªfeira'!$E$11:$K$117,A56,'5ªfeira'!$K$11:$K$109)</f>
        <v>0</v>
      </c>
      <c r="D56" s="96"/>
      <c r="E56" s="74"/>
      <c r="F56" s="74"/>
    </row>
    <row r="57" spans="1:6" ht="15.5" hidden="1" x14ac:dyDescent="0.35">
      <c r="A57" s="102">
        <v>1902716</v>
      </c>
      <c r="B57" s="103" t="s">
        <v>100</v>
      </c>
      <c r="C57" s="100">
        <f ca="1">SUMIF('5ªfeira'!$E$11:$K$117,A57,'5ªfeira'!$K$11:$K$109)</f>
        <v>0</v>
      </c>
      <c r="D57" s="96"/>
      <c r="E57" s="74"/>
      <c r="F57" s="74"/>
    </row>
    <row r="58" spans="1:6" ht="15.5" x14ac:dyDescent="0.35">
      <c r="A58" s="102">
        <v>1903661</v>
      </c>
      <c r="B58" s="103" t="s">
        <v>101</v>
      </c>
      <c r="C58" s="100">
        <f ca="1">SUMIF('5ªfeira'!$E$11:$K$117,A58,'5ªfeira'!$K$11:$K$109)</f>
        <v>0</v>
      </c>
      <c r="D58" s="96"/>
      <c r="E58" s="74"/>
      <c r="F58" s="74"/>
    </row>
    <row r="59" spans="1:6" ht="15.5" x14ac:dyDescent="0.35">
      <c r="A59" s="102">
        <v>1903662</v>
      </c>
      <c r="B59" s="103" t="s">
        <v>102</v>
      </c>
      <c r="C59" s="100">
        <f ca="1">SUMIF('5ªfeira'!$E$11:$K$117,A59,'5ªfeira'!$K$11:$K$109)</f>
        <v>0</v>
      </c>
      <c r="D59" s="96"/>
      <c r="E59" s="74"/>
      <c r="F59" s="74"/>
    </row>
    <row r="60" spans="1:6" ht="15.5" hidden="1" x14ac:dyDescent="0.35">
      <c r="A60" s="102">
        <v>1903799</v>
      </c>
      <c r="B60" s="103" t="s">
        <v>103</v>
      </c>
      <c r="C60" s="100">
        <f ca="1">SUMIF('5ªfeira'!$E$11:$K$117,A60,'5ªfeira'!$K$11:$K$109)</f>
        <v>0</v>
      </c>
      <c r="D60" s="96"/>
      <c r="E60" s="74"/>
      <c r="F60" s="74"/>
    </row>
    <row r="61" spans="1:6" ht="15.5" x14ac:dyDescent="0.35">
      <c r="A61" s="102">
        <v>1907733</v>
      </c>
      <c r="B61" s="103" t="s">
        <v>104</v>
      </c>
      <c r="C61" s="100">
        <f ca="1">SUMIF('5ªfeira'!$E$11:$K$117,A61,'5ªfeira'!$K$11:$K$109)</f>
        <v>0</v>
      </c>
      <c r="D61" s="96"/>
      <c r="E61" s="74"/>
      <c r="F61" s="74"/>
    </row>
    <row r="62" spans="1:6" ht="15.5" x14ac:dyDescent="0.35">
      <c r="A62" s="112"/>
      <c r="B62" s="113"/>
      <c r="C62" s="96"/>
      <c r="D62" s="96"/>
      <c r="E62" s="74"/>
      <c r="F62" s="74"/>
    </row>
    <row r="63" spans="1:6" ht="15.5" x14ac:dyDescent="0.35">
      <c r="A63" s="102">
        <v>1904059</v>
      </c>
      <c r="B63" s="103" t="s">
        <v>105</v>
      </c>
      <c r="C63" s="100">
        <f ca="1">SUMIF('5ªfeira'!$E$11:$K$117,A63,'5ªfeira'!$K$11:$K$109)</f>
        <v>0</v>
      </c>
      <c r="D63" s="96"/>
      <c r="E63" s="74"/>
      <c r="F63" s="74"/>
    </row>
    <row r="64" spans="1:6" ht="15.5" hidden="1" x14ac:dyDescent="0.35">
      <c r="A64" s="102">
        <v>1900899</v>
      </c>
      <c r="B64" s="103" t="s">
        <v>106</v>
      </c>
      <c r="C64" s="100">
        <f ca="1">SUMIF('5ªfeira'!$E$11:$K$117,A64,'5ªfeira'!$K$11:$K$109)</f>
        <v>0</v>
      </c>
      <c r="D64" s="96"/>
      <c r="E64" s="74"/>
      <c r="F64" s="74"/>
    </row>
    <row r="65" spans="1:6" ht="15.5" x14ac:dyDescent="0.35">
      <c r="A65" s="111">
        <v>1906009</v>
      </c>
      <c r="B65" s="106" t="s">
        <v>107</v>
      </c>
      <c r="C65" s="100">
        <f ca="1">SUMIF('5ªfeira'!$E$11:$K$117,A65,'5ªfeira'!$K$11:$K$109)</f>
        <v>0</v>
      </c>
      <c r="D65" s="96"/>
      <c r="E65" s="74"/>
      <c r="F65" s="74"/>
    </row>
    <row r="66" spans="1:6" ht="15.5" hidden="1" x14ac:dyDescent="0.35">
      <c r="A66" s="114">
        <v>1902079</v>
      </c>
      <c r="B66" s="115" t="s">
        <v>108</v>
      </c>
      <c r="C66" s="116">
        <f ca="1">SUMIF('5ªfeira'!$E$11:$K$117,A66,'5ªfeira'!$K$11:$K$109)</f>
        <v>0</v>
      </c>
      <c r="D66" s="96"/>
      <c r="E66" s="74"/>
      <c r="F66" s="74"/>
    </row>
    <row r="67" spans="1:6" ht="15.5" x14ac:dyDescent="0.35">
      <c r="A67" s="111">
        <v>1906010</v>
      </c>
      <c r="B67" s="106" t="s">
        <v>109</v>
      </c>
      <c r="C67" s="100">
        <f ca="1">SUMIF('5ªfeira'!$E$11:$K$117,A67,'5ªfeira'!$K$11:$K$109)</f>
        <v>591.27255524073507</v>
      </c>
      <c r="D67" s="96"/>
      <c r="E67" s="74"/>
      <c r="F67" s="74"/>
    </row>
    <row r="68" spans="1:6" ht="15.5" x14ac:dyDescent="0.35">
      <c r="A68" s="102">
        <v>1904058</v>
      </c>
      <c r="B68" s="103" t="s">
        <v>110</v>
      </c>
      <c r="C68" s="100">
        <f ca="1">SUMIF('5ªfeira'!$E$11:$K$117,A68,'5ªfeira'!$K$11:$K$109)</f>
        <v>0</v>
      </c>
      <c r="D68" s="96"/>
      <c r="E68" s="74"/>
      <c r="F68" s="74"/>
    </row>
    <row r="69" spans="1:6" ht="15.5" x14ac:dyDescent="0.35">
      <c r="A69" s="102">
        <v>1903648</v>
      </c>
      <c r="B69" s="103" t="s">
        <v>111</v>
      </c>
      <c r="C69" s="100">
        <f ca="1">SUMIF('5ªfeira'!$E$11:$K$117,A69,'5ªfeira'!$K$11:$K$109)</f>
        <v>0</v>
      </c>
      <c r="D69" s="96"/>
      <c r="E69" s="74"/>
      <c r="F69" s="74"/>
    </row>
    <row r="70" spans="1:6" ht="12.5" x14ac:dyDescent="0.25">
      <c r="A70" s="1"/>
      <c r="B70" s="1"/>
      <c r="C70" s="1"/>
      <c r="D70" s="1"/>
      <c r="E70" s="1"/>
      <c r="F70" s="1"/>
    </row>
    <row r="71" spans="1:6" ht="15.5" x14ac:dyDescent="0.35">
      <c r="A71" s="102">
        <v>1907457</v>
      </c>
      <c r="B71" s="106" t="s">
        <v>112</v>
      </c>
      <c r="C71" s="100">
        <f ca="1">SUMIF('5ªfeira'!$E$11:$K$117,A71,'5ªfeira'!$K$11:$K$109)</f>
        <v>0</v>
      </c>
      <c r="D71" s="96"/>
      <c r="E71" s="74"/>
      <c r="F71" s="74"/>
    </row>
    <row r="72" spans="1:6" ht="12.5" x14ac:dyDescent="0.25">
      <c r="A72" s="1"/>
      <c r="B72" s="1"/>
      <c r="C72" s="1"/>
      <c r="D72" s="1"/>
      <c r="E72" s="1"/>
      <c r="F72" s="1"/>
    </row>
    <row r="73" spans="1:6" ht="15.5" x14ac:dyDescent="0.35">
      <c r="A73" s="102">
        <v>1901169</v>
      </c>
      <c r="B73" s="103" t="s">
        <v>113</v>
      </c>
      <c r="C73" s="100">
        <f ca="1">SUMIF('5ªfeira'!$E$11:$K$117,A73,'5ªfeira'!$K$11:$K$109)</f>
        <v>790.94600035616475</v>
      </c>
      <c r="D73" s="96"/>
      <c r="E73" s="74"/>
      <c r="F73" s="74"/>
    </row>
    <row r="74" spans="1:6" ht="15.5" x14ac:dyDescent="0.35">
      <c r="A74" s="102">
        <v>1901460</v>
      </c>
      <c r="B74" s="103" t="s">
        <v>114</v>
      </c>
      <c r="C74" s="100">
        <f ca="1">SUMIF('5ªfeira'!$E$11:$K$117,A74,'5ªfeira'!$K$11:$K$109)</f>
        <v>217.90635545556808</v>
      </c>
      <c r="D74" s="96"/>
      <c r="E74" s="74"/>
      <c r="F74" s="74"/>
    </row>
    <row r="75" spans="1:6" ht="15.5" x14ac:dyDescent="0.35">
      <c r="A75" s="102">
        <v>1904332</v>
      </c>
      <c r="B75" s="103" t="s">
        <v>115</v>
      </c>
      <c r="C75" s="100">
        <f ca="1">SUMIF('5ªfeira'!$E$11:$K$117,A75,'5ªfeira'!$K$11:$K$109)</f>
        <v>0</v>
      </c>
      <c r="D75" s="96"/>
      <c r="E75" s="74"/>
      <c r="F75" s="74"/>
    </row>
    <row r="76" spans="1:6" ht="15.5" x14ac:dyDescent="0.35">
      <c r="A76" s="102">
        <v>1907723</v>
      </c>
      <c r="B76" s="111" t="s">
        <v>116</v>
      </c>
      <c r="C76" s="100">
        <f ca="1">SUMIF('5ªfeira'!$E$11:$K$117,A76,'5ªfeira'!$K$11:$K$109)</f>
        <v>0</v>
      </c>
      <c r="D76" s="96"/>
      <c r="E76" s="74"/>
      <c r="F76" s="74"/>
    </row>
    <row r="77" spans="1:6" ht="15.5" hidden="1" x14ac:dyDescent="0.35">
      <c r="A77" s="102">
        <v>1904330</v>
      </c>
      <c r="B77" s="103" t="s">
        <v>116</v>
      </c>
      <c r="C77" s="100">
        <f ca="1">SUMIF('5ªfeira'!$E$11:$K$117,A77,'5ªfeira'!$K$11:$K$109)</f>
        <v>0</v>
      </c>
      <c r="D77" s="96"/>
      <c r="E77" s="74"/>
      <c r="F77" s="74"/>
    </row>
    <row r="78" spans="1:6" ht="15.5" x14ac:dyDescent="0.35">
      <c r="A78" s="102">
        <v>1901164</v>
      </c>
      <c r="B78" s="103" t="s">
        <v>117</v>
      </c>
      <c r="C78" s="100">
        <f ca="1">SUMIF('5ªfeira'!$E$11:$K$117,A78,'5ªfeira'!$K$11:$K$109)</f>
        <v>1049.2862767518832</v>
      </c>
      <c r="D78" s="96"/>
      <c r="E78" s="74"/>
      <c r="F78" s="74"/>
    </row>
    <row r="79" spans="1:6" ht="15.5" x14ac:dyDescent="0.35">
      <c r="A79" s="56"/>
      <c r="B79" s="1"/>
      <c r="C79" s="96"/>
      <c r="D79" s="74"/>
      <c r="E79" s="74"/>
      <c r="F79" s="74"/>
    </row>
    <row r="80" spans="1:6" ht="15.5" hidden="1" x14ac:dyDescent="0.35">
      <c r="A80" s="1"/>
      <c r="B80" s="1"/>
      <c r="C80" s="74"/>
      <c r="D80" s="96"/>
      <c r="E80" s="96"/>
      <c r="F80" s="74"/>
    </row>
    <row r="81" spans="1:6" ht="15.5" hidden="1" x14ac:dyDescent="0.35">
      <c r="A81" s="133" t="s">
        <v>4</v>
      </c>
      <c r="B81" s="133" t="s">
        <v>118</v>
      </c>
      <c r="C81" s="134" t="s">
        <v>119</v>
      </c>
      <c r="D81" s="134" t="s">
        <v>22</v>
      </c>
      <c r="E81" s="134" t="s">
        <v>120</v>
      </c>
      <c r="F81" s="74"/>
    </row>
    <row r="82" spans="1:6" ht="15.5" hidden="1" x14ac:dyDescent="0.35">
      <c r="A82" s="133"/>
      <c r="B82" s="133"/>
      <c r="C82" s="134"/>
      <c r="D82" s="134"/>
      <c r="E82" s="134"/>
      <c r="F82" s="74"/>
    </row>
    <row r="83" spans="1:6" ht="15.5" hidden="1" x14ac:dyDescent="0.35">
      <c r="A83" s="103">
        <v>4012689</v>
      </c>
      <c r="B83" s="103" t="s">
        <v>121</v>
      </c>
      <c r="C83" s="100">
        <v>550</v>
      </c>
      <c r="D83" s="49" t="e">
        <f>SUMIF(#REF!,A83,#REF!)</f>
        <v>#REF!</v>
      </c>
      <c r="E83" s="100" t="e">
        <f>D83/C83</f>
        <v>#REF!</v>
      </c>
      <c r="F83" s="74"/>
    </row>
    <row r="84" spans="1:6" ht="15.5" hidden="1" x14ac:dyDescent="0.35">
      <c r="A84" s="103">
        <v>4013501</v>
      </c>
      <c r="B84" s="103" t="s">
        <v>122</v>
      </c>
      <c r="C84" s="100">
        <v>550</v>
      </c>
      <c r="D84" s="49" t="e">
        <f>SUMIF(#REF!,A84,#REF!)</f>
        <v>#REF!</v>
      </c>
      <c r="E84" s="100" t="e">
        <f t="shared" ref="E84:E93" si="2">D84/C84</f>
        <v>#REF!</v>
      </c>
      <c r="F84" s="74"/>
    </row>
    <row r="85" spans="1:6" ht="15.5" hidden="1" x14ac:dyDescent="0.35">
      <c r="A85" s="103">
        <v>4012770</v>
      </c>
      <c r="B85" s="103" t="s">
        <v>123</v>
      </c>
      <c r="C85" s="100">
        <v>550</v>
      </c>
      <c r="D85" s="49" t="e">
        <f>SUMIF(#REF!,A85,#REF!)</f>
        <v>#REF!</v>
      </c>
      <c r="E85" s="100" t="e">
        <f t="shared" si="2"/>
        <v>#REF!</v>
      </c>
      <c r="F85" s="74"/>
    </row>
    <row r="86" spans="1:6" ht="15.5" hidden="1" x14ac:dyDescent="0.35">
      <c r="A86" s="103">
        <v>4012767</v>
      </c>
      <c r="B86" s="103" t="s">
        <v>124</v>
      </c>
      <c r="C86" s="100">
        <v>550</v>
      </c>
      <c r="D86" s="49" t="e">
        <f>SUMIF(#REF!,A86,#REF!)</f>
        <v>#REF!</v>
      </c>
      <c r="E86" s="100" t="e">
        <f t="shared" si="2"/>
        <v>#REF!</v>
      </c>
      <c r="F86" s="74"/>
    </row>
    <row r="87" spans="1:6" ht="15.5" hidden="1" x14ac:dyDescent="0.35">
      <c r="A87" s="103">
        <v>4012768</v>
      </c>
      <c r="B87" s="103" t="s">
        <v>125</v>
      </c>
      <c r="C87" s="100">
        <v>550</v>
      </c>
      <c r="D87" s="49" t="e">
        <f>SUMIF(#REF!,A87,#REF!)</f>
        <v>#REF!</v>
      </c>
      <c r="E87" s="100" t="e">
        <f t="shared" si="2"/>
        <v>#REF!</v>
      </c>
      <c r="F87" s="74"/>
    </row>
    <row r="88" spans="1:6" ht="15.5" hidden="1" x14ac:dyDescent="0.35">
      <c r="A88" s="103">
        <v>4012794</v>
      </c>
      <c r="B88" s="103" t="s">
        <v>126</v>
      </c>
      <c r="C88" s="100">
        <v>550</v>
      </c>
      <c r="D88" s="49" t="e">
        <f>SUMIF(#REF!,A88,#REF!)</f>
        <v>#REF!</v>
      </c>
      <c r="E88" s="100" t="e">
        <f t="shared" si="2"/>
        <v>#REF!</v>
      </c>
      <c r="F88" s="74"/>
    </row>
    <row r="89" spans="1:6" ht="15.5" hidden="1" x14ac:dyDescent="0.35">
      <c r="A89" s="103">
        <v>4013502</v>
      </c>
      <c r="B89" s="103" t="s">
        <v>127</v>
      </c>
      <c r="C89" s="100">
        <v>550</v>
      </c>
      <c r="D89" s="49" t="e">
        <f>SUMIF(#REF!,A89,#REF!)</f>
        <v>#REF!</v>
      </c>
      <c r="E89" s="100" t="e">
        <f t="shared" si="2"/>
        <v>#REF!</v>
      </c>
      <c r="F89" s="74"/>
    </row>
    <row r="90" spans="1:6" ht="15.5" hidden="1" x14ac:dyDescent="0.35">
      <c r="A90" s="103">
        <v>801184</v>
      </c>
      <c r="B90" s="103" t="s">
        <v>128</v>
      </c>
      <c r="C90" s="100">
        <v>550</v>
      </c>
      <c r="D90" s="49" t="e">
        <f>SUMIF(#REF!,A90,#REF!)</f>
        <v>#REF!</v>
      </c>
      <c r="E90" s="100" t="e">
        <f t="shared" si="2"/>
        <v>#REF!</v>
      </c>
      <c r="F90" s="74"/>
    </row>
    <row r="91" spans="1:6" ht="15.5" hidden="1" x14ac:dyDescent="0.35">
      <c r="A91" s="103">
        <v>801185</v>
      </c>
      <c r="B91" s="103" t="s">
        <v>129</v>
      </c>
      <c r="C91" s="100">
        <v>550</v>
      </c>
      <c r="D91" s="49" t="e">
        <f>SUMIF(#REF!,A91,#REF!)</f>
        <v>#REF!</v>
      </c>
      <c r="E91" s="100" t="e">
        <f t="shared" si="2"/>
        <v>#REF!</v>
      </c>
      <c r="F91" s="74"/>
    </row>
    <row r="92" spans="1:6" ht="15.5" hidden="1" x14ac:dyDescent="0.35">
      <c r="A92" s="103">
        <v>801435</v>
      </c>
      <c r="B92" s="103" t="s">
        <v>130</v>
      </c>
      <c r="C92" s="100">
        <v>550</v>
      </c>
      <c r="D92" s="49" t="e">
        <f>SUMIF(#REF!,A92,#REF!)</f>
        <v>#REF!</v>
      </c>
      <c r="E92" s="100" t="e">
        <f t="shared" si="2"/>
        <v>#REF!</v>
      </c>
      <c r="F92" s="74"/>
    </row>
    <row r="93" spans="1:6" ht="15.5" hidden="1" x14ac:dyDescent="0.35">
      <c r="A93" s="103">
        <v>801497</v>
      </c>
      <c r="B93" s="103" t="s">
        <v>131</v>
      </c>
      <c r="C93" s="100">
        <v>550</v>
      </c>
      <c r="D93" s="49" t="e">
        <f>SUMIF(#REF!,A93,#REF!)</f>
        <v>#REF!</v>
      </c>
      <c r="E93" s="100" t="e">
        <f t="shared" si="2"/>
        <v>#REF!</v>
      </c>
      <c r="F93" s="74"/>
    </row>
    <row r="94" spans="1:6" ht="15.5" hidden="1" x14ac:dyDescent="0.35">
      <c r="A94" s="103"/>
      <c r="B94" s="103"/>
      <c r="C94" s="100"/>
      <c r="D94" s="49"/>
      <c r="E94" s="100"/>
      <c r="F94" s="74"/>
    </row>
    <row r="95" spans="1:6" ht="15.5" hidden="1" x14ac:dyDescent="0.35">
      <c r="A95" s="103">
        <v>800375</v>
      </c>
      <c r="B95" s="103" t="s">
        <v>132</v>
      </c>
      <c r="C95" s="100">
        <v>200</v>
      </c>
      <c r="D95" s="49" t="e">
        <f>SUMIF(#REF!,A95,#REF!)</f>
        <v>#REF!</v>
      </c>
      <c r="E95" s="100" t="e">
        <f>D95/C95</f>
        <v>#REF!</v>
      </c>
      <c r="F95" s="74"/>
    </row>
    <row r="96" spans="1:6" ht="15.5" hidden="1" x14ac:dyDescent="0.35">
      <c r="A96" s="103">
        <v>4012743</v>
      </c>
      <c r="B96" s="103" t="s">
        <v>133</v>
      </c>
      <c r="C96" s="100">
        <v>200</v>
      </c>
      <c r="D96" s="49" t="e">
        <f>SUMIF(#REF!,A96,#REF!)</f>
        <v>#REF!</v>
      </c>
      <c r="E96" s="100" t="e">
        <f>D96/C96</f>
        <v>#REF!</v>
      </c>
      <c r="F96" s="74"/>
    </row>
    <row r="97" spans="1:6" ht="15.5" hidden="1" x14ac:dyDescent="0.35">
      <c r="A97" s="103">
        <v>4013500</v>
      </c>
      <c r="B97" s="103" t="s">
        <v>134</v>
      </c>
      <c r="C97" s="100">
        <v>550</v>
      </c>
      <c r="D97" s="49" t="e">
        <f>SUMIF(#REF!,A97,#REF!)</f>
        <v>#REF!</v>
      </c>
      <c r="E97" s="100" t="e">
        <f>D97/C97</f>
        <v>#REF!</v>
      </c>
      <c r="F97" s="74"/>
    </row>
    <row r="98" spans="1:6" ht="15.5" hidden="1" x14ac:dyDescent="0.35">
      <c r="A98" s="103">
        <v>4012774</v>
      </c>
      <c r="B98" s="103" t="s">
        <v>135</v>
      </c>
      <c r="C98" s="100">
        <v>200</v>
      </c>
      <c r="D98" s="49" t="e">
        <f>SUMIF(#REF!,A98,#REF!)</f>
        <v>#REF!</v>
      </c>
      <c r="E98" s="100" t="e">
        <f>D98/C98</f>
        <v>#REF!</v>
      </c>
      <c r="F98" s="74"/>
    </row>
    <row r="99" spans="1:6" ht="15.5" hidden="1" x14ac:dyDescent="0.35">
      <c r="A99" s="103">
        <v>800962</v>
      </c>
      <c r="B99" s="103" t="s">
        <v>136</v>
      </c>
      <c r="C99" s="100">
        <v>200</v>
      </c>
      <c r="D99" s="49" t="e">
        <f>SUMIF(#REF!,A99,#REF!)</f>
        <v>#REF!</v>
      </c>
      <c r="E99" s="100" t="e">
        <f>D99/C99</f>
        <v>#REF!</v>
      </c>
      <c r="F99" s="74"/>
    </row>
    <row r="100" spans="1:6" ht="15.5" hidden="1" x14ac:dyDescent="0.35">
      <c r="A100" s="1"/>
      <c r="B100" s="1"/>
      <c r="C100" s="74"/>
      <c r="D100" s="74"/>
      <c r="E100" s="74"/>
      <c r="F100" s="74"/>
    </row>
    <row r="101" spans="1:6" ht="15.5" hidden="1" x14ac:dyDescent="0.35">
      <c r="A101" s="1"/>
      <c r="B101" s="1"/>
      <c r="C101" s="74"/>
      <c r="D101" s="74"/>
      <c r="E101" s="74"/>
      <c r="F101" s="74"/>
    </row>
    <row r="102" spans="1:6" ht="15.5" hidden="1" x14ac:dyDescent="0.35">
      <c r="A102" s="133" t="s">
        <v>4</v>
      </c>
      <c r="B102" s="133" t="s">
        <v>118</v>
      </c>
      <c r="C102" s="133" t="s">
        <v>137</v>
      </c>
      <c r="D102" s="74"/>
      <c r="E102" s="74"/>
      <c r="F102" s="74"/>
    </row>
    <row r="103" spans="1:6" ht="15.5" hidden="1" x14ac:dyDescent="0.35">
      <c r="A103" s="133"/>
      <c r="B103" s="133"/>
      <c r="C103" s="133"/>
      <c r="D103" s="74"/>
      <c r="E103" s="74"/>
      <c r="F103" s="74"/>
    </row>
    <row r="104" spans="1:6" ht="15.5" hidden="1" x14ac:dyDescent="0.35">
      <c r="A104" s="103">
        <v>4012771</v>
      </c>
      <c r="B104" s="103" t="s">
        <v>138</v>
      </c>
      <c r="C104" s="49" t="e">
        <f>SUMIF(#REF!,A104,#REF!)+SUMIF(#REF!,A104,#REF!)*0.15</f>
        <v>#REF!</v>
      </c>
      <c r="D104" s="1"/>
      <c r="E104" s="1"/>
      <c r="F104" s="1"/>
    </row>
    <row r="105" spans="1:6" ht="15.5" hidden="1" x14ac:dyDescent="0.35">
      <c r="A105" s="103">
        <v>4012772</v>
      </c>
      <c r="B105" s="103" t="s">
        <v>139</v>
      </c>
      <c r="C105" s="49" t="e">
        <f>SUMIF(#REF!,A105,#REF!)+SUMIF(#REF!,A105,#REF!)*0.3</f>
        <v>#REF!</v>
      </c>
      <c r="D105" s="1"/>
      <c r="E105" s="1"/>
      <c r="F105" s="1"/>
    </row>
    <row r="106" spans="1:6" ht="15.5" hidden="1" x14ac:dyDescent="0.35">
      <c r="A106" s="103">
        <v>4012773</v>
      </c>
      <c r="B106" s="103" t="s">
        <v>140</v>
      </c>
      <c r="C106" s="49" t="e">
        <f>SUMIF(#REF!,A106,#REF!)+SUMIF(#REF!,A106,#REF!)*0.15</f>
        <v>#REF!</v>
      </c>
      <c r="D106" s="1"/>
      <c r="E106" s="1"/>
      <c r="F106" s="1"/>
    </row>
    <row r="107" spans="1:6" ht="15.5" hidden="1" x14ac:dyDescent="0.35">
      <c r="A107" s="103">
        <v>4013482</v>
      </c>
      <c r="B107" s="103" t="s">
        <v>141</v>
      </c>
      <c r="C107" s="49" t="e">
        <f>SUMIF(#REF!,A107,#REF!)+SUMIF(#REF!,A107,#REF!)*0.15</f>
        <v>#REF!</v>
      </c>
      <c r="D107" s="1"/>
      <c r="E107" s="1"/>
      <c r="F107" s="1"/>
    </row>
    <row r="108" spans="1:6" ht="15.5" hidden="1" x14ac:dyDescent="0.35">
      <c r="A108" s="103">
        <v>4012786</v>
      </c>
      <c r="B108" s="103" t="s">
        <v>142</v>
      </c>
      <c r="C108" s="49" t="e">
        <f>SUMIF(#REF!,A108,#REF!)+SUMIF(#REF!,A108,#REF!)*0.15</f>
        <v>#REF!</v>
      </c>
      <c r="D108" s="1"/>
      <c r="E108" s="1"/>
      <c r="F108" s="1"/>
    </row>
    <row r="109" spans="1:6" ht="15.5" hidden="1" x14ac:dyDescent="0.35">
      <c r="A109" s="103">
        <v>4012781</v>
      </c>
      <c r="B109" s="103" t="s">
        <v>143</v>
      </c>
      <c r="C109" s="49" t="e">
        <f>SUMIF(#REF!,A109,#REF!)+SUMIF(#REF!,A109,#REF!)*0.15</f>
        <v>#REF!</v>
      </c>
      <c r="D109" s="1"/>
      <c r="E109" s="1"/>
      <c r="F109" s="1"/>
    </row>
    <row r="110" spans="1:6" ht="15.5" hidden="1" x14ac:dyDescent="0.35">
      <c r="A110" s="103">
        <v>801151</v>
      </c>
      <c r="B110" s="103" t="s">
        <v>144</v>
      </c>
      <c r="C110" s="49" t="e">
        <f>SUMIF(#REF!,A110,#REF!)+SUMIF(#REF!,A110,#REF!)*0.15</f>
        <v>#REF!</v>
      </c>
      <c r="D110" s="1"/>
      <c r="E110" s="1"/>
      <c r="F110" s="1"/>
    </row>
    <row r="111" spans="1:6" ht="15.5" hidden="1" x14ac:dyDescent="0.35">
      <c r="A111" s="103">
        <v>4013510</v>
      </c>
      <c r="B111" s="103" t="s">
        <v>145</v>
      </c>
      <c r="C111" s="49" t="e">
        <f>SUMIF(#REF!,A111,#REF!)+SUMIF(#REF!,A111,#REF!)*0.3</f>
        <v>#REF!</v>
      </c>
      <c r="D111" s="1"/>
      <c r="E111" s="1"/>
      <c r="F111" s="1"/>
    </row>
    <row r="112" spans="1:6" ht="12.5" hidden="1" x14ac:dyDescent="0.25">
      <c r="A112" s="1"/>
      <c r="B112" s="1"/>
      <c r="C112" s="1"/>
      <c r="D112" s="1"/>
      <c r="E112" s="1"/>
      <c r="F112" s="1"/>
    </row>
    <row r="113" spans="1:6" ht="12.5" hidden="1" x14ac:dyDescent="0.25">
      <c r="A113" s="1"/>
      <c r="B113" s="1"/>
      <c r="C113" s="1"/>
      <c r="D113" s="1"/>
      <c r="E113" s="1"/>
      <c r="F113" s="1"/>
    </row>
    <row r="114" spans="1:6" ht="15.5" hidden="1" x14ac:dyDescent="0.35">
      <c r="A114" s="103">
        <v>4012796</v>
      </c>
      <c r="B114" s="103" t="s">
        <v>146</v>
      </c>
      <c r="C114" s="49" t="e">
        <f>SUMIF(#REF!,A114,#REF!)+SUMIF(#REF!,A114,#REF!)*0.15</f>
        <v>#REF!</v>
      </c>
      <c r="D114" s="1"/>
      <c r="E114" s="1"/>
      <c r="F114" s="1"/>
    </row>
    <row r="115" spans="1:6" ht="15.5" hidden="1" x14ac:dyDescent="0.35">
      <c r="A115" s="103">
        <v>4012797</v>
      </c>
      <c r="B115" s="103" t="s">
        <v>147</v>
      </c>
      <c r="C115" s="49" t="e">
        <f>SUMIF(#REF!,A115,#REF!)+SUMIF(#REF!,A115,#REF!)*0.15</f>
        <v>#REF!</v>
      </c>
      <c r="D115" s="1"/>
      <c r="E115" s="1"/>
      <c r="F115" s="1"/>
    </row>
    <row r="116" spans="1:6" ht="15.5" hidden="1" x14ac:dyDescent="0.35">
      <c r="A116" s="103">
        <v>4013540</v>
      </c>
      <c r="B116" s="103" t="s">
        <v>148</v>
      </c>
      <c r="C116" s="49" t="e">
        <f>SUMIF(#REF!,A116,#REF!)+SUMIF(#REF!,A116,#REF!)*0.15</f>
        <v>#REF!</v>
      </c>
      <c r="D116" s="1"/>
      <c r="E116" s="1"/>
      <c r="F116" s="1"/>
    </row>
    <row r="117" spans="1:6" ht="15.5" hidden="1" x14ac:dyDescent="0.35">
      <c r="A117" s="103">
        <v>4013563</v>
      </c>
      <c r="B117" s="103" t="s">
        <v>149</v>
      </c>
      <c r="C117" s="49" t="e">
        <f>SUMIF(#REF!,A117,#REF!)+SUMIF(#REF!,A117,#REF!)*0.15</f>
        <v>#REF!</v>
      </c>
      <c r="D117" s="1"/>
      <c r="E117" s="1"/>
      <c r="F117" s="1"/>
    </row>
    <row r="118" spans="1:6" ht="15.5" hidden="1" x14ac:dyDescent="0.35">
      <c r="A118" s="114">
        <v>1902712</v>
      </c>
      <c r="B118" s="115" t="s">
        <v>150</v>
      </c>
      <c r="C118" s="100">
        <f ca="1">SUMIF('5ªfeira'!$E$11:$K$117,A118,'5ªfeira'!$K$11:$K$109)</f>
        <v>0</v>
      </c>
      <c r="D118" s="96"/>
      <c r="E118" s="74"/>
      <c r="F118" s="74"/>
    </row>
    <row r="119" spans="1:6" ht="15.5" hidden="1" x14ac:dyDescent="0.35">
      <c r="A119" s="102">
        <v>1902772</v>
      </c>
      <c r="B119" s="103" t="s">
        <v>151</v>
      </c>
      <c r="C119" s="100">
        <f ca="1">SUMIF('5ªfeira'!$E$11:$K$117,A119,'5ªfeira'!$K$11:$K$109)</f>
        <v>0</v>
      </c>
      <c r="D119" s="96"/>
      <c r="E119" s="74"/>
      <c r="F119" s="74"/>
    </row>
    <row r="120" spans="1:6" ht="15.5" x14ac:dyDescent="0.35">
      <c r="A120" s="102">
        <v>1905045</v>
      </c>
      <c r="B120" s="103" t="s">
        <v>152</v>
      </c>
      <c r="C120" s="100">
        <f ca="1">SUMIF('5ªfeira'!$E$11:$K$117,A120,'5ªfeira'!$K$11:$K$109)</f>
        <v>0</v>
      </c>
      <c r="D120" s="96"/>
      <c r="E120" s="74"/>
      <c r="F120" s="74"/>
    </row>
    <row r="121" spans="1:6" ht="15.5" x14ac:dyDescent="0.35">
      <c r="A121" s="102">
        <v>1905050</v>
      </c>
      <c r="B121" s="103" t="s">
        <v>153</v>
      </c>
      <c r="C121" s="100">
        <f ca="1">SUMIF('5ªfeira'!$E$11:$K$117,A121,'5ªfeira'!$K$11:$K$109)</f>
        <v>0</v>
      </c>
      <c r="D121" s="96"/>
      <c r="E121" s="74"/>
      <c r="F121" s="74"/>
    </row>
    <row r="122" spans="1:6" ht="15.5" hidden="1" x14ac:dyDescent="0.35">
      <c r="A122" s="102">
        <v>1902769</v>
      </c>
      <c r="B122" s="103" t="s">
        <v>154</v>
      </c>
      <c r="C122" s="100">
        <f ca="1">SUMIF('5ªfeira'!$E$11:$K$117,A122,'5ªfeira'!$K$11:$K$109)</f>
        <v>0</v>
      </c>
      <c r="D122" s="96"/>
      <c r="E122" s="74"/>
      <c r="F122" s="74"/>
    </row>
    <row r="123" spans="1:6" ht="15.5" hidden="1" x14ac:dyDescent="0.35">
      <c r="A123" s="102">
        <v>1902869</v>
      </c>
      <c r="B123" s="103" t="s">
        <v>155</v>
      </c>
      <c r="C123" s="100">
        <f ca="1">SUMIF('5ªfeira'!$E$11:$K$117,A123,'5ªfeira'!$K$11:$K$109)</f>
        <v>0</v>
      </c>
      <c r="D123" s="96"/>
      <c r="E123" s="74"/>
      <c r="F123" s="74"/>
    </row>
    <row r="124" spans="1:6" ht="15.5" x14ac:dyDescent="0.35">
      <c r="A124" s="102">
        <v>1905988</v>
      </c>
      <c r="B124" s="103" t="s">
        <v>156</v>
      </c>
      <c r="C124" s="100">
        <f ca="1">SUMIF('5ªfeira'!$E$11:$K$117,A124,'5ªfeira'!$K$11:$K$109)</f>
        <v>0</v>
      </c>
      <c r="D124" s="96"/>
      <c r="E124" s="74"/>
      <c r="F124" s="74"/>
    </row>
    <row r="125" spans="1:6" ht="15.5" x14ac:dyDescent="0.35">
      <c r="A125" s="102">
        <v>1906709</v>
      </c>
      <c r="B125" s="111" t="s">
        <v>157</v>
      </c>
      <c r="C125" s="100">
        <f ca="1">SUMIF('5ªfeira'!$E$11:$K$117,A125,'5ªfeira'!$K$11:$K$109)</f>
        <v>0</v>
      </c>
      <c r="D125" s="96"/>
      <c r="E125" s="74"/>
      <c r="F125" s="74"/>
    </row>
    <row r="126" spans="1:6" ht="15.5" x14ac:dyDescent="0.35">
      <c r="A126" s="102">
        <v>1906479</v>
      </c>
      <c r="B126" s="111" t="s">
        <v>158</v>
      </c>
      <c r="C126" s="100">
        <f ca="1">SUMIF('5ªfeira'!$E$11:$K$117,A126,'5ªfeira'!$K$11:$K$109)</f>
        <v>0</v>
      </c>
      <c r="D126" s="96"/>
      <c r="E126" s="74"/>
      <c r="F126" s="74"/>
    </row>
    <row r="127" spans="1:6" ht="15.5" x14ac:dyDescent="0.35">
      <c r="A127" s="102">
        <v>1906480</v>
      </c>
      <c r="B127" s="111" t="s">
        <v>159</v>
      </c>
      <c r="C127" s="100">
        <f ca="1">SUMIF('5ªfeira'!$E$11:$K$117,A127,'5ªfeira'!$K$11:$K$109)</f>
        <v>0</v>
      </c>
      <c r="D127" s="96"/>
      <c r="E127" s="74"/>
      <c r="F127" s="74"/>
    </row>
    <row r="128" spans="1:6" ht="15.5" x14ac:dyDescent="0.35">
      <c r="A128" s="102">
        <v>1906781</v>
      </c>
      <c r="B128" s="111" t="s">
        <v>160</v>
      </c>
      <c r="C128" s="100">
        <f ca="1">SUMIF('5ªfeira'!$E$11:$K$117,A128,'5ªfeira'!$K$11:$K$109)</f>
        <v>0</v>
      </c>
      <c r="D128" s="96"/>
      <c r="E128" s="74"/>
      <c r="F128" s="74"/>
    </row>
    <row r="129" spans="1:6" ht="12.5" x14ac:dyDescent="0.25">
      <c r="A129" s="1"/>
      <c r="B129" s="1"/>
      <c r="C129" s="1"/>
      <c r="D129" s="1"/>
      <c r="E129" s="1"/>
      <c r="F129" s="1"/>
    </row>
    <row r="130" spans="1:6" ht="12.5" x14ac:dyDescent="0.25">
      <c r="A130" s="1"/>
      <c r="B130" s="1"/>
      <c r="C130" s="1"/>
      <c r="D130" s="1"/>
      <c r="E130" s="1"/>
      <c r="F130" s="1"/>
    </row>
    <row r="131" spans="1:6" ht="12.5" x14ac:dyDescent="0.25">
      <c r="A131" s="1"/>
      <c r="B131" s="1"/>
      <c r="C131" s="1"/>
      <c r="D131" s="1"/>
      <c r="E131" s="1"/>
      <c r="F131" s="1"/>
    </row>
    <row r="132" spans="1:6" ht="12.5" x14ac:dyDescent="0.25">
      <c r="A132" s="1"/>
      <c r="B132" s="1"/>
      <c r="C132" s="1"/>
      <c r="D132" s="1"/>
      <c r="E132" s="1"/>
      <c r="F132" s="1"/>
    </row>
    <row r="133" spans="1:6" ht="12.5" x14ac:dyDescent="0.25">
      <c r="A133" s="1"/>
      <c r="B133" s="1"/>
      <c r="C133" s="1"/>
      <c r="D133" s="1"/>
      <c r="E133" s="1"/>
      <c r="F133" s="1"/>
    </row>
    <row r="134" spans="1:6" ht="12.5" x14ac:dyDescent="0.25">
      <c r="A134" s="1"/>
      <c r="B134" s="1"/>
      <c r="C134" s="1"/>
      <c r="D134" s="1"/>
      <c r="E134" s="1"/>
      <c r="F134" s="1"/>
    </row>
    <row r="135" spans="1:6" ht="12.5" x14ac:dyDescent="0.25">
      <c r="A135" s="1"/>
      <c r="B135" s="1"/>
      <c r="C135" s="1"/>
      <c r="D135" s="1"/>
      <c r="E135" s="1"/>
      <c r="F135" s="1"/>
    </row>
    <row r="136" spans="1:6" ht="12.5" x14ac:dyDescent="0.25">
      <c r="A136" s="1"/>
      <c r="B136" s="1"/>
      <c r="C136" s="1"/>
      <c r="D136" s="1"/>
      <c r="E136" s="1"/>
      <c r="F136" s="1"/>
    </row>
    <row r="137" spans="1:6" ht="12.5" x14ac:dyDescent="0.25">
      <c r="A137" s="1"/>
      <c r="B137" s="1"/>
      <c r="C137" s="1"/>
      <c r="D137" s="1"/>
      <c r="E137" s="1"/>
      <c r="F137" s="1"/>
    </row>
  </sheetData>
  <mergeCells count="15">
    <mergeCell ref="A1:E1"/>
    <mergeCell ref="A9:A10"/>
    <mergeCell ref="B9:B10"/>
    <mergeCell ref="C9:C10"/>
    <mergeCell ref="D9:D10"/>
    <mergeCell ref="E9:E10"/>
    <mergeCell ref="A102:A103"/>
    <mergeCell ref="B102:B103"/>
    <mergeCell ref="C102:C103"/>
    <mergeCell ref="F9:F10"/>
    <mergeCell ref="A81:A82"/>
    <mergeCell ref="B81:B82"/>
    <mergeCell ref="C81:C82"/>
    <mergeCell ref="D81:D82"/>
    <mergeCell ref="E81:E82"/>
  </mergeCells>
  <printOptions horizontalCentered="1"/>
  <pageMargins left="0.74803149606299213" right="0.74803149606299213" top="0" bottom="0" header="0" footer="0"/>
  <pageSetup paperSize="9" scale="72" fitToHeight="2" orientation="portrait" r:id="rId1"/>
  <headerFooter alignWithMargins="0">
    <oddFooter>&amp;R&amp;"Calibri"&amp;11&amp;K000000&amp;"Calibri"&amp;11&amp;K000000&amp;"Calibri"&amp;11&amp;K000000NBP 601/4_x000D_&amp;1#&amp;"Aptos"&amp;10&amp;KFF0000 Internal Information | Sigma in Europe</oddFooter>
  </headerFooter>
  <rowBreaks count="1" manualBreakCount="1">
    <brk id="78" max="5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B8A4DE5D9A64A94F07EB6D05661CB" ma:contentTypeVersion="14" ma:contentTypeDescription="Crear nuevo documento." ma:contentTypeScope="" ma:versionID="97b60c153462d3204d4c780edfefcab3">
  <xsd:schema xmlns:xsd="http://www.w3.org/2001/XMLSchema" xmlns:xs="http://www.w3.org/2001/XMLSchema" xmlns:p="http://schemas.microsoft.com/office/2006/metadata/properties" xmlns:ns2="2f5d1bc8-f3e0-4e99-a627-50e2d1e58319" xmlns:ns3="aa86ec3c-6103-4c14-bc6b-386558500960" targetNamespace="http://schemas.microsoft.com/office/2006/metadata/properties" ma:root="true" ma:fieldsID="2fb09f664386bb4a21cb43999322730b" ns2:_="" ns3:_="">
    <xsd:import namespace="2f5d1bc8-f3e0-4e99-a627-50e2d1e58319"/>
    <xsd:import namespace="aa86ec3c-6103-4c14-bc6b-386558500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d1bc8-f3e0-4e99-a627-50e2d1e583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d9fc560-982e-4af8-9937-989d27489c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6ec3c-6103-4c14-bc6b-3865585009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444917-1bae-4473-88f0-94c04aaf0ed2}" ma:internalName="TaxCatchAll" ma:showField="CatchAllData" ma:web="aa86ec3c-6103-4c14-bc6b-3865585009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86ec3c-6103-4c14-bc6b-386558500960" xsi:nil="true"/>
    <lcf76f155ced4ddcb4097134ff3c332f xmlns="2f5d1bc8-f3e0-4e99-a627-50e2d1e583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A82437-7E81-4E37-9A6E-2239EFB92E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77E04D-D647-4759-99AF-E119D5979A35}"/>
</file>

<file path=customXml/itemProps3.xml><?xml version="1.0" encoding="utf-8"?>
<ds:datastoreItem xmlns:ds="http://schemas.openxmlformats.org/officeDocument/2006/customXml" ds:itemID="{735D69A5-A8B6-459F-B4BF-496A5401DBDC}">
  <ds:schemaRefs>
    <ds:schemaRef ds:uri="http://schemas.microsoft.com/office/2006/metadata/properties"/>
    <ds:schemaRef ds:uri="http://schemas.microsoft.com/office/infopath/2007/PartnerControls"/>
    <ds:schemaRef ds:uri="aa86ec3c-6103-4c14-bc6b-386558500960"/>
    <ds:schemaRef ds:uri="2f5d1bc8-f3e0-4e99-a627-50e2d1e58319"/>
  </ds:schemaRefs>
</ds:datastoreItem>
</file>

<file path=docMetadata/LabelInfo.xml><?xml version="1.0" encoding="utf-8"?>
<clbl:labelList xmlns:clbl="http://schemas.microsoft.com/office/2020/mipLabelMetadata">
  <clbl:label id="{68e17602-7682-4c07-aecd-515d5835543f}" enabled="1" method="Privileged" siteId="{3602f44b-1aa9-4a4a-8a8a-10edcd570bd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5ªfeira</vt:lpstr>
      <vt:lpstr>Nec_5ª</vt:lpstr>
      <vt:lpstr>'5ªfeira'!Print_Area</vt:lpstr>
      <vt:lpstr>Nec_5ª!Print_Area</vt:lpstr>
      <vt:lpstr>Nec_5ª!Print_Titles</vt:lpstr>
    </vt:vector>
  </TitlesOfParts>
  <Company>Sigma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Silva</dc:creator>
  <cp:lastModifiedBy>Francisco Costa</cp:lastModifiedBy>
  <dcterms:created xsi:type="dcterms:W3CDTF">2026-04-01T14:58:06Z</dcterms:created>
  <dcterms:modified xsi:type="dcterms:W3CDTF">2026-05-20T13:18:38Z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0x010100964B8A4DE5D9A64A94F07EB6D05661CB</vt:lpwstr>
  </property>
  <property fmtid="{D5CDD505-2E9C-101B-9397-08002B2CF9AE}" pid="3" name="MediaServiceImageTags">
    <vt:lpwstr/>
  </property>
</Properties>
</file>